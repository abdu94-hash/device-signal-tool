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2x2 Example" sheetId="2" state="visible" r:id="rId2"/>
    <sheet xmlns:r="http://schemas.openxmlformats.org/officeDocument/2006/relationships" name="2x2 Your data" sheetId="3" state="visible" r:id="rId3"/>
    <sheet xmlns:r="http://schemas.openxmlformats.org/officeDocument/2006/relationships" name="O-E Example" sheetId="4" state="visible" r:id="rId4"/>
    <sheet xmlns:r="http://schemas.openxmlformats.org/officeDocument/2006/relationships" name="O-E Your data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x_helper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"/>
    <numFmt numFmtId="167" formatCode="0.00000"/>
  </numFmts>
  <fonts count="9">
    <font>
      <name val="Calibri"/>
      <family val="2"/>
      <color theme="1"/>
      <sz val="11"/>
      <scheme val="minor"/>
    </font>
    <font>
      <name val="Calibri"/>
      <b val="1"/>
      <color rgb="0017375E"/>
      <sz val="15"/>
    </font>
    <font>
      <name val="Calibri"/>
      <i val="1"/>
      <color rgb="00595959"/>
      <sz val="10"/>
    </font>
    <font>
      <name val="Calibri"/>
      <b val="1"/>
      <color rgb="0017375E"/>
      <sz val="12"/>
    </font>
    <font>
      <name val="Calibri"/>
      <sz val="10"/>
    </font>
    <font>
      <name val="Calibri"/>
      <b val="1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color rgb="00A6A6A6"/>
      <sz val="8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17375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4" fillId="3" borderId="1" pivotButton="0" quotePrefix="0" xfId="0"/>
    <xf numFmtId="0" fontId="4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3" fontId="6" fillId="2" borderId="1" pivotButton="0" quotePrefix="0" xfId="0"/>
    <xf numFmtId="3" fontId="4" fillId="3" borderId="1" pivotButton="0" quotePrefix="0" xfId="0"/>
    <xf numFmtId="164" fontId="6" fillId="2" borderId="1" pivotButton="0" quotePrefix="0" xfId="0"/>
    <xf numFmtId="165" fontId="4" fillId="3" borderId="1" pivotButton="0" quotePrefix="0" xfId="0"/>
    <xf numFmtId="166" fontId="6" fillId="2" borderId="1" pivotButton="0" quotePrefix="0" xfId="0"/>
    <xf numFmtId="1" fontId="6" fillId="2" borderId="1" pivotButton="0" quotePrefix="0" xfId="0"/>
    <xf numFmtId="2" fontId="5" fillId="3" borderId="1" pivotButton="0" quotePrefix="0" xfId="0"/>
    <xf numFmtId="166" fontId="4" fillId="3" borderId="1" pivotButton="0" quotePrefix="0" xfId="0"/>
    <xf numFmtId="2" fontId="4" fillId="3" borderId="1" pivotButton="0" quotePrefix="0" xfId="0"/>
    <xf numFmtId="0" fontId="5" fillId="3" borderId="1" pivotButton="0" quotePrefix="0" xfId="0"/>
    <xf numFmtId="0" fontId="6" fillId="2" borderId="1" applyAlignment="1" pivotButton="0" quotePrefix="0" xfId="0">
      <alignment vertical="top" wrapText="1"/>
    </xf>
    <xf numFmtId="167" fontId="4" fillId="3" borderId="1" pivotButton="0" quotePrefix="0" xfId="0"/>
    <xf numFmtId="1" fontId="5" fillId="3" borderId="1" pivotButton="0" quotePrefix="0" xfId="0"/>
    <xf numFmtId="1" fontId="4" fillId="3" borderId="1" pivotButton="0" quotePrefix="0" xfId="0"/>
    <xf numFmtId="166" fontId="8" fillId="3" borderId="1" pivotButton="0" quotePrefix="0" xfId="0"/>
    <xf numFmtId="1" fontId="8" fillId="3" borderId="1" pivotButton="0" quotePrefix="0" xfId="0"/>
    <xf numFmtId="0" fontId="8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Funnel plot: observed against expected</a:t>
            </a:r>
          </a:p>
        </rich>
      </tx>
    </title>
    <plotArea>
      <scatterChart>
        <ser>
          <idx val="0"/>
          <order val="0"/>
          <tx>
            <v>Lower limit 1</v>
          </tx>
          <spPr>
            <a:ln xmlns:a="http://schemas.openxmlformats.org/drawingml/2006/main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'O-E Example'!$A$29:$A$42</f>
            </numRef>
          </xVal>
          <yVal>
            <numRef>
              <f>'O-E Example'!$B$29:$B$42</f>
            </numRef>
          </yVal>
          <smooth val="0"/>
        </ser>
        <ser>
          <idx val="1"/>
          <order val="1"/>
          <tx>
            <v>Upper limit 1</v>
          </tx>
          <spPr>
            <a:ln xmlns:a="http://schemas.openxmlformats.org/drawingml/2006/main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'O-E Example'!$A$29:$A$42</f>
            </numRef>
          </xVal>
          <yVal>
            <numRef>
              <f>'O-E Example'!$C$29:$C$42</f>
            </numRef>
          </yVal>
          <smooth val="0"/>
        </ser>
        <ser>
          <idx val="2"/>
          <order val="2"/>
          <tx>
            <v>Lower limit 2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'O-E Example'!$A$29:$A$42</f>
            </numRef>
          </xVal>
          <yVal>
            <numRef>
              <f>'O-E Example'!$D$29:$D$42</f>
            </numRef>
          </yVal>
          <smooth val="0"/>
        </ser>
        <ser>
          <idx val="3"/>
          <order val="3"/>
          <tx>
            <v>Upper limit 2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'O-E Example'!$A$29:$A$42</f>
            </numRef>
          </xVal>
          <yVal>
            <numRef>
              <f>'O-E Example'!$E$29:$E$42</f>
            </numRef>
          </yVal>
          <smooth val="0"/>
        </ser>
        <ser>
          <idx val="4"/>
          <order val="4"/>
          <tx>
            <v>Your unit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17375E"/>
              </a:solidFill>
              <a:ln xmlns:a="http://schemas.openxmlformats.org/drawingml/2006/main">
                <a:prstDash val="solid"/>
              </a:ln>
            </spPr>
          </marker>
          <xVal>
            <numRef>
              <f>'O-E Example'!$A$43</f>
            </numRef>
          </xVal>
          <yVal>
            <numRef>
              <f>'O-E Example'!$F$43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events (E)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 events (O)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Funnel plot: observed against expected</a:t>
            </a:r>
          </a:p>
        </rich>
      </tx>
    </title>
    <plotArea>
      <scatterChart>
        <ser>
          <idx val="0"/>
          <order val="0"/>
          <tx>
            <v>Lower limit 1</v>
          </tx>
          <spPr>
            <a:ln xmlns:a="http://schemas.openxmlformats.org/drawingml/2006/main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'O-E Your data'!$A$29:$A$42</f>
            </numRef>
          </xVal>
          <yVal>
            <numRef>
              <f>'O-E Your data'!$B$29:$B$42</f>
            </numRef>
          </yVal>
          <smooth val="0"/>
        </ser>
        <ser>
          <idx val="1"/>
          <order val="1"/>
          <tx>
            <v>Upper limit 1</v>
          </tx>
          <spPr>
            <a:ln xmlns:a="http://schemas.openxmlformats.org/drawingml/2006/main">
              <a:solidFill>
                <a:srgbClr val="ED7D31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'O-E Your data'!$A$29:$A$42</f>
            </numRef>
          </xVal>
          <yVal>
            <numRef>
              <f>'O-E Your data'!$C$29:$C$42</f>
            </numRef>
          </yVal>
          <smooth val="0"/>
        </ser>
        <ser>
          <idx val="2"/>
          <order val="2"/>
          <tx>
            <v>Lower limit 2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'O-E Your data'!$A$29:$A$42</f>
            </numRef>
          </xVal>
          <yVal>
            <numRef>
              <f>'O-E Your data'!$D$29:$D$42</f>
            </numRef>
          </yVal>
          <smooth val="0"/>
        </ser>
        <ser>
          <idx val="3"/>
          <order val="3"/>
          <tx>
            <v>Upper limit 2</v>
          </tx>
          <spPr>
            <a:ln xmlns:a="http://schemas.openxmlformats.org/drawingml/2006/main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'O-E Your data'!$A$29:$A$42</f>
            </numRef>
          </xVal>
          <yVal>
            <numRef>
              <f>'O-E Your data'!$E$29:$E$42</f>
            </numRef>
          </yVal>
          <smooth val="0"/>
        </ser>
        <ser>
          <idx val="4"/>
          <order val="4"/>
          <tx>
            <v>Your unit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10"/>
            <spPr>
              <a:solidFill xmlns:a="http://schemas.openxmlformats.org/drawingml/2006/main">
                <a:srgbClr val="17375E"/>
              </a:solidFill>
              <a:ln xmlns:a="http://schemas.openxmlformats.org/drawingml/2006/main">
                <a:prstDash val="solid"/>
              </a:ln>
            </spPr>
          </marker>
          <xVal>
            <numRef>
              <f>'O-E Your data'!$A$43</f>
            </numRef>
          </xVal>
          <yVal>
            <numRef>
              <f>'O-E Your data'!$F$43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events (E)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Observed events (O)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26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26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Disproportionality and registry O/E calculator</t>
        </is>
      </c>
    </row>
    <row r="2">
      <c r="A2" s="2" t="inlineStr">
        <is>
          <t>Signal Management in Medical Device Vigilance · Selim Medical Press · © 2026 · Tool T-7 · Chapter 9 (section 9.5; Tables 9.1–9.3)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5">
      <c r="A5" s="3" t="inlineStr">
        <is>
          <t>Purpose</t>
        </is>
      </c>
    </row>
    <row r="6" ht="60" customHeight="1">
      <c r="A6" s="4" t="inlineStr">
        <is>
          <t>Sheet 1 (2×2) takes the four cells of a 2×2 table and returns PRR and ROR with log-method confidence intervals, the expected count, the Yates chi-square and a screening flag against the company's documented rule. Sheet 2 (O-E) takes observed and expected counts and returns O/E with an exact Poisson confidence interval, the one-sided probability, and exact funnel limits at 95% and 99.8%, with a funnel plot.</t>
        </is>
      </c>
    </row>
    <row r="7">
      <c r="A7" s="3" t="inlineStr">
        <is>
          <t>When to use</t>
        </is>
      </c>
    </row>
    <row r="8" ht="45" customHeight="1">
      <c r="A8" s="4" t="inlineStr">
        <is>
          <t>When a spontaneous-report database (AEMS, which absorbed the former MAUDE database) or a registry is part of detection or assessment. Each sheet ends with interpretation prompts that must be answered in words before the result is filed.</t>
        </is>
      </c>
    </row>
    <row r="9">
      <c r="A9" s="3" t="inlineStr">
        <is>
          <t>Sheets</t>
        </is>
      </c>
    </row>
    <row r="10" ht="30" customHeight="1">
      <c r="A10" s="4" t="inlineStr">
        <is>
          <t>2x2 Example — Glucalyn (fictional): a = 30, b = 570, c = 90, d = 8,910. Reproduces PRR 5.0 (3.34–7.50), ROR 5.21 (3.42–7.94), expected 7.5, chi-square 69.7.</t>
        </is>
      </c>
    </row>
    <row r="11" ht="30" customHeight="1">
      <c r="A11" s="4" t="inlineStr">
        <is>
          <t>O-E Example — Tessora (fictional): O = 48, E = 26.0. Reproduces O/E 1.85 (1.36–2.45) and exact 99.8% limits 12 to 43 at E = 26.</t>
        </is>
      </c>
    </row>
    <row r="12" ht="30" customHeight="1">
      <c r="A12" s="4" t="inlineStr">
        <is>
          <t>2x2 Your data and O-E Your data — blank calculators.   Summary — Table 9.3 with a column for your entries, and Table 9.2.</t>
        </is>
      </c>
    </row>
    <row r="13">
      <c r="A13" s="3" t="inlineStr">
        <is>
          <t>Formulas</t>
        </is>
      </c>
    </row>
    <row r="14" ht="30" customHeight="1">
      <c r="A14" s="4" t="inlineStr">
        <is>
          <t>PRR = [a/(a+b)] ÷ [c/(c+d)];  SE ln(PRR) = √(1/a − 1/(a+b) + 1/c − 1/(c+d)).   ROR = ad ÷ bc;  SE ln(ROR) = √(1/a + 1/b + 1/c + 1/d).   CI = exp(ln(estimate) ± z × SE).</t>
        </is>
      </c>
    </row>
    <row r="15" ht="30" customHeight="1">
      <c r="A15" s="4" t="inlineStr">
        <is>
          <t>Exact Poisson CI for O: lower = CHISQ.INV(α/2, 2O)/2, upper = CHISQ.INV(1 − α/2, 2O + 2)/2 (identical to GAMMA.INV(α/2, O, 1) and GAMMA.INV(1 − α/2, O + 1, 1)); divide by E for O/E.</t>
        </is>
      </c>
    </row>
    <row r="16" ht="60" customHeight="1">
      <c r="A16" s="4" t="inlineStr">
        <is>
          <t>Exact funnel limits at expected count E: the Poisson quantile, i.e. the smallest x with POISSON.DIST(x, E, TRUE) ≥ p, for p = 0.025/0.975 (95%) and 0.001/0.999 (99.8%). The workbook counts the x values (0 to 4,999, hidden sheet x_helper) whose cumulative probability is below p, so it is valid for E up to about 4,500. A unit is flagged when O is above the upper limit.</t>
        </is>
      </c>
    </row>
    <row r="17">
      <c r="A17" s="3" t="inlineStr">
        <is>
          <t>Caution</t>
        </is>
      </c>
    </row>
    <row r="18" ht="30" customHeight="1">
      <c r="A18" s="4" t="inlineStr">
        <is>
          <t>The screening rule (PRR ≥ 2, chi-square ≥ 4, n ≥ 3) is a common company-designed example, not a regulatory requirement. Disproportionality points at a reporting pattern, not a rate.</t>
        </is>
      </c>
    </row>
    <row r="19" ht="15" customHeight="1">
      <c r="A19" s="4" t="inlineStr">
        <is>
          <t>Companion web tool: https://abdu94-hash.github.io/device-signal-tool/</t>
        </is>
      </c>
    </row>
  </sheetData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4" customWidth="1" min="4" max="4"/>
    <col width="4" customWidth="1" min="5" max="5"/>
    <col width="30" customWidth="1" min="6" max="6"/>
    <col width="16" customWidth="1" min="7" max="7"/>
  </cols>
  <sheetData>
    <row r="1">
      <c r="A1" s="1" t="inlineStr">
        <is>
          <t>Disproportionality: 2×2 table, PRR and ROR — Example (Glucalyn, fictional)</t>
        </is>
      </c>
    </row>
    <row r="2">
      <c r="A2" s="2" t="inlineStr">
        <is>
          <t>Signal Management in Medical Device Vigilance · Selim Medical Press · © 2026 · Tool T-7 · Chapter 9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4">
      <c r="A4" s="5" t="inlineStr">
        <is>
          <t>Legend:</t>
        </is>
      </c>
      <c r="B4" s="6" t="inlineStr">
        <is>
          <t>Input (edit)</t>
        </is>
      </c>
      <c r="C4" s="7" t="inlineStr">
        <is>
          <t>Calculated (do not edit)</t>
        </is>
      </c>
    </row>
    <row r="6">
      <c r="A6" s="8" t="inlineStr">
        <is>
          <t>Source and data cut</t>
        </is>
      </c>
      <c r="B6" s="6" t="inlineStr">
        <is>
          <t>MAUDE-era extract, one product code, Year 2, month 12</t>
        </is>
      </c>
      <c r="C6" s="9" t="n"/>
      <c r="D6" s="10" t="n"/>
    </row>
    <row r="7">
      <c r="A7" s="8" t="inlineStr">
        <is>
          <t>Event of interest</t>
        </is>
      </c>
      <c r="B7" s="6" t="inlineStr">
        <is>
          <t>Occlusion-related delivery problem</t>
        </is>
      </c>
      <c r="C7" s="9" t="n"/>
      <c r="D7" s="10" t="n"/>
    </row>
    <row r="9">
      <c r="A9" s="11" t="inlineStr">
        <is>
          <t>2×2 table</t>
        </is>
      </c>
      <c r="B9" s="11" t="inlineStr">
        <is>
          <t>Event of interest</t>
        </is>
      </c>
      <c r="C9" s="11" t="inlineStr">
        <is>
          <t>All other events / reports</t>
        </is>
      </c>
      <c r="D9" s="11" t="inlineStr">
        <is>
          <t>Total</t>
        </is>
      </c>
    </row>
    <row r="10">
      <c r="A10" s="12" t="inlineStr">
        <is>
          <t>Device of interest (Glucalyn)</t>
        </is>
      </c>
      <c r="B10" s="13" t="n">
        <v>30</v>
      </c>
      <c r="C10" s="13" t="n">
        <v>570</v>
      </c>
      <c r="D10" s="14">
        <f>IF(COUNT(B10:C10)&lt;2,"",B10+C10)</f>
        <v/>
      </c>
      <c r="F10" t="inlineStr">
        <is>
          <t>a = B10, b = C10</t>
        </is>
      </c>
    </row>
    <row r="11">
      <c r="A11" s="12" t="inlineStr">
        <is>
          <t>All other devices in the comparator set (other pumps, same product code)</t>
        </is>
      </c>
      <c r="B11" s="13" t="n">
        <v>90</v>
      </c>
      <c r="C11" s="13" t="n">
        <v>8910</v>
      </c>
      <c r="D11" s="14">
        <f>IF(COUNT(B11:C11)&lt;2,"",B11+C11)</f>
        <v/>
      </c>
      <c r="F11" t="inlineStr">
        <is>
          <t>c = B11, d = C11</t>
        </is>
      </c>
    </row>
    <row r="12">
      <c r="A12" s="12" t="inlineStr">
        <is>
          <t>Total</t>
        </is>
      </c>
      <c r="B12" s="14">
        <f>IF(COUNT(B10:B11)&lt;2,"",B10+B11)</f>
        <v/>
      </c>
      <c r="C12" s="14">
        <f>IF(COUNT(C10:C11)&lt;2,"",C10+C11)</f>
        <v/>
      </c>
      <c r="D12" s="14">
        <f>IF(COUNT(B10:C11)&lt;4,"",SUM(B10:C11))</f>
        <v/>
      </c>
    </row>
    <row r="14">
      <c r="A14" s="12" t="inlineStr">
        <is>
          <t>SETTINGS</t>
        </is>
      </c>
    </row>
    <row r="15">
      <c r="A15" s="8" t="inlineStr">
        <is>
          <t>Confidence level</t>
        </is>
      </c>
      <c r="B15" s="15" t="n">
        <v>0.95</v>
      </c>
    </row>
    <row r="16">
      <c r="A16" s="8" t="inlineStr">
        <is>
          <t>z for the confidence level</t>
        </is>
      </c>
      <c r="B16" s="16">
        <f>_xlfn.NORM.S.INV(1-(1-B15)/2)</f>
        <v/>
      </c>
    </row>
    <row r="17">
      <c r="A17" s="8" t="inlineStr">
        <is>
          <t>Screening rule (company example): minimum PRR</t>
        </is>
      </c>
      <c r="B17" s="17" t="n">
        <v>2</v>
      </c>
    </row>
    <row r="18">
      <c r="A18" s="8" t="inlineStr">
        <is>
          <t>Screening rule: minimum chi-square (Yates)</t>
        </is>
      </c>
      <c r="B18" s="17" t="n">
        <v>4</v>
      </c>
    </row>
    <row r="19">
      <c r="A19" s="8" t="inlineStr">
        <is>
          <t>Screening rule: minimum number of cases (a)</t>
        </is>
      </c>
      <c r="B19" s="18" t="n">
        <v>3</v>
      </c>
    </row>
    <row r="21">
      <c r="A21" s="12" t="inlineStr">
        <is>
          <t>RESULTS</t>
        </is>
      </c>
    </row>
    <row r="22">
      <c r="A22" s="11" t="inlineStr">
        <is>
          <t>Statistic</t>
        </is>
      </c>
      <c r="B22" s="11" t="inlineStr">
        <is>
          <t>Estimate</t>
        </is>
      </c>
      <c r="C22" s="11" t="inlineStr">
        <is>
          <t>Lower CI</t>
        </is>
      </c>
      <c r="D22" s="11" t="inlineStr">
        <is>
          <t>Upper CI</t>
        </is>
      </c>
    </row>
    <row r="23">
      <c r="A23" s="8" t="inlineStr">
        <is>
          <t>PRR = [a ÷ (a + b)] ÷ [c ÷ (c + d)]</t>
        </is>
      </c>
      <c r="B23" s="19">
        <f>IF(OR(COUNT($B$10:$C$11)&lt;4,MIN($B$10:$C$11)&lt;=0),"",(B10/D10)/(B11/D11))</f>
        <v/>
      </c>
      <c r="C23" s="19">
        <f>IF(OR(COUNT($B$10:$C$11)&lt;4,MIN($B$10:$C$11)&lt;=0),"",EXP(LN(B23)-$B$16*B24))</f>
        <v/>
      </c>
      <c r="D23" s="19">
        <f>IF(OR(COUNT($B$10:$C$11)&lt;4,MIN($B$10:$C$11)&lt;=0),"",EXP(LN(B23)+$B$16*B24))</f>
        <v/>
      </c>
      <c r="F23" s="2" t="inlineStr">
        <is>
          <t>Book: PRR 5.0 (3.34–7.50)</t>
        </is>
      </c>
    </row>
    <row r="24">
      <c r="A24" s="8" t="inlineStr">
        <is>
          <t>SE of ln(PRR) = √(1/a − 1/(a+b) + 1/c − 1/(c+d))</t>
        </is>
      </c>
      <c r="B24" s="16">
        <f>IF(OR(COUNT($B$10:$C$11)&lt;4,MIN($B$10:$C$11)&lt;=0),"",SQRT(1/B10-1/D10+1/B11-1/D11))</f>
        <v/>
      </c>
    </row>
    <row r="25">
      <c r="A25" s="8" t="inlineStr">
        <is>
          <t>ROR = (a × d) ÷ (b × c)</t>
        </is>
      </c>
      <c r="B25" s="19">
        <f>IF(OR(COUNT($B$10:$C$11)&lt;4,MIN($B$10:$C$11)&lt;=0),"",(B10*C11)/(C10*B11))</f>
        <v/>
      </c>
      <c r="C25" s="19">
        <f>IF(OR(COUNT($B$10:$C$11)&lt;4,MIN($B$10:$C$11)&lt;=0),"",EXP(LN(B25)-$B$16*B26))</f>
        <v/>
      </c>
      <c r="D25" s="19">
        <f>IF(OR(COUNT($B$10:$C$11)&lt;4,MIN($B$10:$C$11)&lt;=0),"",EXP(LN(B25)+$B$16*B26))</f>
        <v/>
      </c>
      <c r="F25" s="2" t="inlineStr">
        <is>
          <t>Book: ROR 5.21 (3.42–7.94)</t>
        </is>
      </c>
    </row>
    <row r="26">
      <c r="A26" s="8" t="inlineStr">
        <is>
          <t>SE of ln(ROR) = √(1/a + 1/b + 1/c + 1/d)</t>
        </is>
      </c>
      <c r="B26" s="16">
        <f>IF(OR(COUNT($B$10:$C$11)&lt;4,MIN($B$10:$C$11)&lt;=0),"",SQRT(1/B10+1/C10+1/B11+1/C11))</f>
        <v/>
      </c>
    </row>
    <row r="27">
      <c r="A27" s="8" t="inlineStr">
        <is>
          <t>Expected count in cell a = (a + b) × (a + c) ÷ N</t>
        </is>
      </c>
      <c r="B27" s="20">
        <f>IF(OR(COUNT($B$10:$C$11)&lt;4,MIN($B$10:$C$11)&lt;=0),"",D10*B12/D12)</f>
        <v/>
      </c>
      <c r="F27" s="2" t="inlineStr">
        <is>
          <t>Book: 7.5 expected</t>
        </is>
      </c>
    </row>
    <row r="28">
      <c r="A28" s="8" t="inlineStr">
        <is>
          <t>Observed ÷ expected (cell a)</t>
        </is>
      </c>
      <c r="B28" s="21">
        <f>IF(OR(COUNT($B$10:$C$11)&lt;4,MIN($B$10:$C$11)&lt;=0),"",B10/B27)</f>
        <v/>
      </c>
    </row>
    <row r="29" ht="30" customHeight="1">
      <c r="A29" s="8" t="inlineStr">
        <is>
          <t>Chi-square with Yates correction = N × (|ad − bc| − N/2)² ÷ [(a+b)(c+d)(a+c)(b+d)]</t>
        </is>
      </c>
      <c r="B29" s="20">
        <f>IF(OR(COUNT($B$10:$C$11)&lt;4,MIN($B$10:$C$11)&lt;=0),"",D12*(ABS(B10*C11-C10*B11)-D12/2)^2/(D10*D11*B12*C12))</f>
        <v/>
      </c>
      <c r="F29" s="2" t="inlineStr">
        <is>
          <t>Book: 69.7</t>
        </is>
      </c>
    </row>
    <row r="30">
      <c r="A30" s="8" t="inlineStr">
        <is>
          <t>Screening flag against the documented rule</t>
        </is>
      </c>
      <c r="B30" s="22">
        <f>IF(OR(COUNT($B$10:$C$11)&lt;4,MIN($B$10:$C$11)&lt;=0),"",IF(AND(B23&gt;=B17,B29&gt;=B18,B10&gt;=B19),"Rule met","Rule not met"))</f>
        <v/>
      </c>
      <c r="C30" s="9" t="n"/>
      <c r="D30" s="10" t="n"/>
    </row>
    <row r="32">
      <c r="A32" s="12" t="inlineStr">
        <is>
          <t>INTERPRETATION PROMPTS — answer in words before the result is filed</t>
        </is>
      </c>
    </row>
    <row r="33" ht="32" customHeight="1">
      <c r="A33" s="8" t="inlineStr">
        <is>
          <t>What population, product code and data cut does the table describe?</t>
        </is>
      </c>
      <c r="B33" s="23" t="inlineStr">
        <is>
          <t>One product code; MAUDE-era data to Year 2, month 12.</t>
        </is>
      </c>
      <c r="C33" s="9" t="n"/>
      <c r="D33" s="10" t="n"/>
    </row>
    <row r="34" ht="32" customHeight="1">
      <c r="A34" s="8" t="inlineStr">
        <is>
          <t>What can this ratio not show (rate, risk, version, cross-brand ranking)?</t>
        </is>
      </c>
      <c r="B34" s="23" t="inlineStr">
        <is>
          <t>No denominator; software version rarely stated in narratives, so v3.2 cannot be separated from v3.1.</t>
        </is>
      </c>
      <c r="C34" s="9" t="n"/>
      <c r="D34" s="10" t="n"/>
    </row>
    <row r="35" ht="32" customHeight="1">
      <c r="A35" s="8" t="inlineStr">
        <is>
          <t>Known biases (stimulated reporting, coding, duplicates, summary reports)?</t>
        </is>
      </c>
      <c r="B35" s="23" t="inlineStr">
        <is>
          <t>Reporting stimulated by the company's own FSCA.</t>
        </is>
      </c>
      <c r="C35" s="9" t="n"/>
      <c r="D35" s="10" t="n"/>
    </row>
    <row r="36" ht="32" customHeight="1">
      <c r="A36" s="8" t="inlineStr">
        <is>
          <t>What does it point to, and what is the next step?</t>
        </is>
      </c>
      <c r="B36" s="23" t="inlineStr">
        <is>
          <t>Brand-level excess; rely on version-level rates (rate ratio 13.5) and bench work.</t>
        </is>
      </c>
      <c r="C36" s="9" t="n"/>
      <c r="D36" s="10" t="n"/>
    </row>
    <row r="37" ht="32" customHeight="1">
      <c r="A37" s="8" t="inlineStr">
        <is>
          <t>Reviewer and date</t>
        </is>
      </c>
      <c r="B37" s="23" t="n"/>
      <c r="C37" s="9" t="n"/>
      <c r="D37" s="10" t="n"/>
    </row>
  </sheetData>
  <mergeCells count="8">
    <mergeCell ref="B33:D33"/>
    <mergeCell ref="B36:D36"/>
    <mergeCell ref="B37:D37"/>
    <mergeCell ref="B35:D35"/>
    <mergeCell ref="B30:D30"/>
    <mergeCell ref="B7:D7"/>
    <mergeCell ref="B6:D6"/>
    <mergeCell ref="B34:D34"/>
  </mergeCells>
  <pageMargins left="0.75" right="0.75" top="1" bottom="1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4" customWidth="1" min="4" max="4"/>
    <col width="4" customWidth="1" min="5" max="5"/>
    <col width="30" customWidth="1" min="6" max="6"/>
    <col width="16" customWidth="1" min="7" max="7"/>
  </cols>
  <sheetData>
    <row r="1">
      <c r="A1" s="1" t="inlineStr">
        <is>
          <t>Disproportionality: 2×2 table, PRR and ROR — Your data</t>
        </is>
      </c>
    </row>
    <row r="2">
      <c r="A2" s="2" t="inlineStr">
        <is>
          <t>Signal Management in Medical Device Vigilance · Selim Medical Press · © 2026 · Tool T-7 · Chapter 9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4">
      <c r="A4" s="5" t="inlineStr">
        <is>
          <t>Legend:</t>
        </is>
      </c>
      <c r="B4" s="6" t="inlineStr">
        <is>
          <t>Input (edit)</t>
        </is>
      </c>
      <c r="C4" s="7" t="inlineStr">
        <is>
          <t>Calculated (do not edit)</t>
        </is>
      </c>
    </row>
    <row r="6">
      <c r="A6" s="8" t="inlineStr">
        <is>
          <t>Source and data cut</t>
        </is>
      </c>
      <c r="B6" s="6" t="n"/>
      <c r="C6" s="9" t="n"/>
      <c r="D6" s="10" t="n"/>
    </row>
    <row r="7">
      <c r="A7" s="8" t="inlineStr">
        <is>
          <t>Event of interest</t>
        </is>
      </c>
      <c r="B7" s="6" t="n"/>
      <c r="C7" s="9" t="n"/>
      <c r="D7" s="10" t="n"/>
    </row>
    <row r="9">
      <c r="A9" s="11" t="inlineStr">
        <is>
          <t>2×2 table</t>
        </is>
      </c>
      <c r="B9" s="11" t="inlineStr">
        <is>
          <t>Event of interest</t>
        </is>
      </c>
      <c r="C9" s="11" t="inlineStr">
        <is>
          <t>All other events / reports</t>
        </is>
      </c>
      <c r="D9" s="11" t="inlineStr">
        <is>
          <t>Total</t>
        </is>
      </c>
    </row>
    <row r="10">
      <c r="A10" s="12" t="inlineStr">
        <is>
          <t>Device of interest</t>
        </is>
      </c>
      <c r="B10" s="13" t="n"/>
      <c r="C10" s="13" t="n"/>
      <c r="D10" s="14">
        <f>IF(COUNT(B10:C10)&lt;2,"",B10+C10)</f>
        <v/>
      </c>
      <c r="F10" t="inlineStr">
        <is>
          <t>a = B10, b = C10</t>
        </is>
      </c>
    </row>
    <row r="11">
      <c r="A11" s="12" t="inlineStr">
        <is>
          <t>All other devices in the comparator set</t>
        </is>
      </c>
      <c r="B11" s="13" t="n"/>
      <c r="C11" s="13" t="n"/>
      <c r="D11" s="14">
        <f>IF(COUNT(B11:C11)&lt;2,"",B11+C11)</f>
        <v/>
      </c>
      <c r="F11" t="inlineStr">
        <is>
          <t>c = B11, d = C11</t>
        </is>
      </c>
    </row>
    <row r="12">
      <c r="A12" s="12" t="inlineStr">
        <is>
          <t>Total</t>
        </is>
      </c>
      <c r="B12" s="14">
        <f>IF(COUNT(B10:B11)&lt;2,"",B10+B11)</f>
        <v/>
      </c>
      <c r="C12" s="14">
        <f>IF(COUNT(C10:C11)&lt;2,"",C10+C11)</f>
        <v/>
      </c>
      <c r="D12" s="14">
        <f>IF(COUNT(B10:C11)&lt;4,"",SUM(B10:C11))</f>
        <v/>
      </c>
    </row>
    <row r="14">
      <c r="A14" s="12" t="inlineStr">
        <is>
          <t>SETTINGS</t>
        </is>
      </c>
    </row>
    <row r="15">
      <c r="A15" s="8" t="inlineStr">
        <is>
          <t>Confidence level</t>
        </is>
      </c>
      <c r="B15" s="15" t="n">
        <v>0.95</v>
      </c>
    </row>
    <row r="16">
      <c r="A16" s="8" t="inlineStr">
        <is>
          <t>z for the confidence level</t>
        </is>
      </c>
      <c r="B16" s="16">
        <f>_xlfn.NORM.S.INV(1-(1-B15)/2)</f>
        <v/>
      </c>
    </row>
    <row r="17">
      <c r="A17" s="8" t="inlineStr">
        <is>
          <t>Screening rule (company example): minimum PRR</t>
        </is>
      </c>
      <c r="B17" s="17" t="n">
        <v>2</v>
      </c>
    </row>
    <row r="18">
      <c r="A18" s="8" t="inlineStr">
        <is>
          <t>Screening rule: minimum chi-square (Yates)</t>
        </is>
      </c>
      <c r="B18" s="17" t="n">
        <v>4</v>
      </c>
    </row>
    <row r="19">
      <c r="A19" s="8" t="inlineStr">
        <is>
          <t>Screening rule: minimum number of cases (a)</t>
        </is>
      </c>
      <c r="B19" s="18" t="n">
        <v>3</v>
      </c>
    </row>
    <row r="21">
      <c r="A21" s="12" t="inlineStr">
        <is>
          <t>RESULTS</t>
        </is>
      </c>
    </row>
    <row r="22">
      <c r="A22" s="11" t="inlineStr">
        <is>
          <t>Statistic</t>
        </is>
      </c>
      <c r="B22" s="11" t="inlineStr">
        <is>
          <t>Estimate</t>
        </is>
      </c>
      <c r="C22" s="11" t="inlineStr">
        <is>
          <t>Lower CI</t>
        </is>
      </c>
      <c r="D22" s="11" t="inlineStr">
        <is>
          <t>Upper CI</t>
        </is>
      </c>
    </row>
    <row r="23">
      <c r="A23" s="8" t="inlineStr">
        <is>
          <t>PRR = [a ÷ (a + b)] ÷ [c ÷ (c + d)]</t>
        </is>
      </c>
      <c r="B23" s="19">
        <f>IF(OR(COUNT($B$10:$C$11)&lt;4,MIN($B$10:$C$11)&lt;=0),"",(B10/D10)/(B11/D11))</f>
        <v/>
      </c>
      <c r="C23" s="19">
        <f>IF(OR(COUNT($B$10:$C$11)&lt;4,MIN($B$10:$C$11)&lt;=0),"",EXP(LN(B23)-$B$16*B24))</f>
        <v/>
      </c>
      <c r="D23" s="19">
        <f>IF(OR(COUNT($B$10:$C$11)&lt;4,MIN($B$10:$C$11)&lt;=0),"",EXP(LN(B23)+$B$16*B24))</f>
        <v/>
      </c>
    </row>
    <row r="24">
      <c r="A24" s="8" t="inlineStr">
        <is>
          <t>SE of ln(PRR) = √(1/a − 1/(a+b) + 1/c − 1/(c+d))</t>
        </is>
      </c>
      <c r="B24" s="16">
        <f>IF(OR(COUNT($B$10:$C$11)&lt;4,MIN($B$10:$C$11)&lt;=0),"",SQRT(1/B10-1/D10+1/B11-1/D11))</f>
        <v/>
      </c>
    </row>
    <row r="25">
      <c r="A25" s="8" t="inlineStr">
        <is>
          <t>ROR = (a × d) ÷ (b × c)</t>
        </is>
      </c>
      <c r="B25" s="19">
        <f>IF(OR(COUNT($B$10:$C$11)&lt;4,MIN($B$10:$C$11)&lt;=0),"",(B10*C11)/(C10*B11))</f>
        <v/>
      </c>
      <c r="C25" s="19">
        <f>IF(OR(COUNT($B$10:$C$11)&lt;4,MIN($B$10:$C$11)&lt;=0),"",EXP(LN(B25)-$B$16*B26))</f>
        <v/>
      </c>
      <c r="D25" s="19">
        <f>IF(OR(COUNT($B$10:$C$11)&lt;4,MIN($B$10:$C$11)&lt;=0),"",EXP(LN(B25)+$B$16*B26))</f>
        <v/>
      </c>
    </row>
    <row r="26">
      <c r="A26" s="8" t="inlineStr">
        <is>
          <t>SE of ln(ROR) = √(1/a + 1/b + 1/c + 1/d)</t>
        </is>
      </c>
      <c r="B26" s="16">
        <f>IF(OR(COUNT($B$10:$C$11)&lt;4,MIN($B$10:$C$11)&lt;=0),"",SQRT(1/B10+1/C10+1/B11+1/C11))</f>
        <v/>
      </c>
    </row>
    <row r="27">
      <c r="A27" s="8" t="inlineStr">
        <is>
          <t>Expected count in cell a = (a + b) × (a + c) ÷ N</t>
        </is>
      </c>
      <c r="B27" s="20">
        <f>IF(OR(COUNT($B$10:$C$11)&lt;4,MIN($B$10:$C$11)&lt;=0),"",D10*B12/D12)</f>
        <v/>
      </c>
    </row>
    <row r="28">
      <c r="A28" s="8" t="inlineStr">
        <is>
          <t>Observed ÷ expected (cell a)</t>
        </is>
      </c>
      <c r="B28" s="21">
        <f>IF(OR(COUNT($B$10:$C$11)&lt;4,MIN($B$10:$C$11)&lt;=0),"",B10/B27)</f>
        <v/>
      </c>
    </row>
    <row r="29" ht="30" customHeight="1">
      <c r="A29" s="8" t="inlineStr">
        <is>
          <t>Chi-square with Yates correction = N × (|ad − bc| − N/2)² ÷ [(a+b)(c+d)(a+c)(b+d)]</t>
        </is>
      </c>
      <c r="B29" s="20">
        <f>IF(OR(COUNT($B$10:$C$11)&lt;4,MIN($B$10:$C$11)&lt;=0),"",D12*(ABS(B10*C11-C10*B11)-D12/2)^2/(D10*D11*B12*C12))</f>
        <v/>
      </c>
    </row>
    <row r="30">
      <c r="A30" s="8" t="inlineStr">
        <is>
          <t>Screening flag against the documented rule</t>
        </is>
      </c>
      <c r="B30" s="22">
        <f>IF(OR(COUNT($B$10:$C$11)&lt;4,MIN($B$10:$C$11)&lt;=0),"",IF(AND(B23&gt;=B17,B29&gt;=B18,B10&gt;=B19),"Rule met","Rule not met"))</f>
        <v/>
      </c>
      <c r="C30" s="9" t="n"/>
      <c r="D30" s="10" t="n"/>
    </row>
    <row r="32">
      <c r="A32" s="12" t="inlineStr">
        <is>
          <t>INTERPRETATION PROMPTS — answer in words before the result is filed</t>
        </is>
      </c>
    </row>
    <row r="33" ht="32" customHeight="1">
      <c r="A33" s="8" t="inlineStr">
        <is>
          <t>What population, product code and data cut does the table describe?</t>
        </is>
      </c>
      <c r="B33" s="23" t="n"/>
      <c r="C33" s="9" t="n"/>
      <c r="D33" s="10" t="n"/>
    </row>
    <row r="34" ht="32" customHeight="1">
      <c r="A34" s="8" t="inlineStr">
        <is>
          <t>What can this ratio not show (rate, risk, version, cross-brand ranking)?</t>
        </is>
      </c>
      <c r="B34" s="23" t="n"/>
      <c r="C34" s="9" t="n"/>
      <c r="D34" s="10" t="n"/>
    </row>
    <row r="35" ht="32" customHeight="1">
      <c r="A35" s="8" t="inlineStr">
        <is>
          <t>Known biases (stimulated reporting, coding, duplicates, summary reports)?</t>
        </is>
      </c>
      <c r="B35" s="23" t="n"/>
      <c r="C35" s="9" t="n"/>
      <c r="D35" s="10" t="n"/>
    </row>
    <row r="36" ht="32" customHeight="1">
      <c r="A36" s="8" t="inlineStr">
        <is>
          <t>What does it point to, and what is the next step?</t>
        </is>
      </c>
      <c r="B36" s="23" t="n"/>
      <c r="C36" s="9" t="n"/>
      <c r="D36" s="10" t="n"/>
    </row>
    <row r="37" ht="32" customHeight="1">
      <c r="A37" s="8" t="inlineStr">
        <is>
          <t>Reviewer and date</t>
        </is>
      </c>
      <c r="B37" s="23" t="n"/>
      <c r="C37" s="9" t="n"/>
      <c r="D37" s="10" t="n"/>
    </row>
  </sheetData>
  <mergeCells count="8">
    <mergeCell ref="B33:D33"/>
    <mergeCell ref="B36:D36"/>
    <mergeCell ref="B37:D37"/>
    <mergeCell ref="B35:D35"/>
    <mergeCell ref="B30:D30"/>
    <mergeCell ref="B7:D7"/>
    <mergeCell ref="B6:D6"/>
    <mergeCell ref="B34:D34"/>
  </mergeCells>
  <pageMargins left="0.75" right="0.75" top="1" bottom="1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34" customWidth="1" min="8" max="8"/>
    <col width="12" customWidth="1" min="9" max="9"/>
  </cols>
  <sheetData>
    <row r="1">
      <c r="A1" s="1" t="inlineStr">
        <is>
          <t>Registry observed ÷ expected and exact Poisson funnel limits — Example (Tessora, fictional)</t>
        </is>
      </c>
    </row>
    <row r="2">
      <c r="A2" s="2" t="inlineStr">
        <is>
          <t>Signal Management in Medical Device Vigilance · Selim Medical Press · © 2026 · Tool T-7 · Chapter 9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4">
      <c r="A4" s="5" t="inlineStr">
        <is>
          <t>Legend:</t>
        </is>
      </c>
      <c r="B4" s="6" t="inlineStr">
        <is>
          <t>Input (edit)</t>
        </is>
      </c>
      <c r="C4" s="7" t="inlineStr">
        <is>
          <t>Calculated (do not edit)</t>
        </is>
      </c>
    </row>
    <row r="6">
      <c r="A6" s="8" t="inlineStr">
        <is>
          <t>Source and data cut</t>
        </is>
      </c>
      <c r="B6" s="6" t="inlineStr">
        <is>
          <t>National registry annual report, Year 6; 6,000 primary THAs</t>
        </is>
      </c>
      <c r="C6" s="9" t="n"/>
      <c r="D6" s="9" t="n"/>
      <c r="E6" s="9" t="n"/>
      <c r="F6" s="10" t="n"/>
    </row>
    <row r="7">
      <c r="A7" s="8" t="inlineStr">
        <is>
          <t>Observed events O (e.g., revisions)</t>
        </is>
      </c>
      <c r="B7" s="18" t="n">
        <v>48</v>
      </c>
    </row>
    <row r="8">
      <c r="A8" s="8" t="inlineStr">
        <is>
          <t>Expected events E (case-mix adjusted)</t>
        </is>
      </c>
      <c r="B8" s="17" t="n">
        <v>26</v>
      </c>
    </row>
    <row r="9">
      <c r="A9" s="8" t="inlineStr">
        <is>
          <t>Confidence level for O/E</t>
        </is>
      </c>
      <c r="B9" s="15" t="n">
        <v>0.95</v>
      </c>
    </row>
    <row r="10">
      <c r="A10" s="8" t="inlineStr">
        <is>
          <t>Funnel limit 1 (two-sided coverage)</t>
        </is>
      </c>
      <c r="B10" s="15" t="n">
        <v>0.95</v>
      </c>
    </row>
    <row r="11">
      <c r="A11" s="8" t="inlineStr">
        <is>
          <t>Funnel limit 2 (two-sided coverage)</t>
        </is>
      </c>
      <c r="B11" s="15" t="n">
        <v>0.998</v>
      </c>
    </row>
    <row r="13">
      <c r="A13" s="12" t="inlineStr">
        <is>
          <t>RESULTS</t>
        </is>
      </c>
    </row>
    <row r="14">
      <c r="A14" s="11" t="inlineStr">
        <is>
          <t>Statistic</t>
        </is>
      </c>
      <c r="B14" s="11" t="inlineStr">
        <is>
          <t>Estimate</t>
        </is>
      </c>
      <c r="C14" s="11" t="inlineStr">
        <is>
          <t>Lower</t>
        </is>
      </c>
      <c r="D14" s="11" t="inlineStr">
        <is>
          <t>Upper</t>
        </is>
      </c>
    </row>
    <row r="15" ht="30" customHeight="1">
      <c r="A15" s="8" t="inlineStr">
        <is>
          <t>O/E, exact Poisson CI via CHISQ.INV:  lower = χ²(α/2, 2O)/2 ÷ E;  upper = χ²(1−α/2, 2O+2)/2 ÷ E</t>
        </is>
      </c>
      <c r="B15" s="19">
        <f>IF(OR($B$7="",$B$8="",N($B$8)&lt;=0),"",B7/B8)</f>
        <v/>
      </c>
      <c r="C15" s="19">
        <f>IF(OR($B$7="",$B$8="",N($B$8)&lt;=0),"",IF(B7=0,0,_xlfn.CHISQ.INV((1-B9)/2,2*B7)/2)/B8)</f>
        <v/>
      </c>
      <c r="D15" s="19">
        <f>IF(OR($B$7="",$B$8="",N($B$8)&lt;=0),"",_xlfn.CHISQ.INV(1-(1-B9)/2,2*B7+2)/2/B8)</f>
        <v/>
      </c>
      <c r="H15" s="2" t="inlineStr">
        <is>
          <t>Book: O/E 1.85 (1.36–2.45)</t>
        </is>
      </c>
    </row>
    <row r="16" ht="30" customHeight="1">
      <c r="A16" s="8" t="inlineStr">
        <is>
          <t>Cross-check via GAMMA.INV:  lower = Γ⁻¹(α/2; O, 1) ÷ E;  upper = Γ⁻¹(1−α/2; O+1, 1) ÷ E</t>
        </is>
      </c>
      <c r="B16" s="21">
        <f>IF(OR($B$7="",$B$8="",N($B$8)&lt;=0),"",B7/B8)</f>
        <v/>
      </c>
      <c r="C16" s="21">
        <f>IF(OR($B$7="",$B$8="",N($B$8)&lt;=0),"",IF(B7=0,0,_xlfn.GAMMA.INV((1-B9)/2,B7,1))/B8)</f>
        <v/>
      </c>
      <c r="D16" s="21">
        <f>IF(OR($B$7="",$B$8="",N($B$8)&lt;=0),"",_xlfn.GAMMA.INV(1-(1-B9)/2,B7+1,1)/B8)</f>
        <v/>
      </c>
    </row>
    <row r="17">
      <c r="A17" s="8" t="inlineStr">
        <is>
          <t>Excess events = O − E</t>
        </is>
      </c>
      <c r="B17" s="20">
        <f>IF(OR($B$7="",$B$8="",N($B$8)&lt;=0),"",B7-B8)</f>
        <v/>
      </c>
    </row>
    <row r="18">
      <c r="A18" s="8" t="inlineStr">
        <is>
          <t>One-sided P(X ≥ O | E) = 1 − POISSON.DIST(O − 1, E, TRUE)</t>
        </is>
      </c>
      <c r="B18" s="24">
        <f>IF(OR($B$7="",$B$8="",N($B$8)&lt;=0),"",IF(B7=0,1,1-_xlfn.POISSON.DIST(B7-1,B8,TRUE)))</f>
        <v/>
      </c>
      <c r="H18" s="2" t="inlineStr">
        <is>
          <t>Book: about 0.00007</t>
        </is>
      </c>
    </row>
    <row r="20">
      <c r="A20" s="12" t="inlineStr">
        <is>
          <t>FUNNEL LIMITS AT THIS E (exact Poisson quantiles: smallest x with P(X ≤ x) ≥ p)</t>
        </is>
      </c>
    </row>
    <row r="21">
      <c r="A21" s="11" t="inlineStr">
        <is>
          <t>Limit</t>
        </is>
      </c>
      <c r="B21" s="11" t="inlineStr">
        <is>
          <t>Lower limit (count)</t>
        </is>
      </c>
      <c r="C21" s="11" t="inlineStr">
        <is>
          <t>Upper limit (count)</t>
        </is>
      </c>
      <c r="D21" s="11" t="inlineStr">
        <is>
          <t>O above upper?</t>
        </is>
      </c>
      <c r="E21" s="11" t="inlineStr">
        <is>
          <t>O below lower?</t>
        </is>
      </c>
    </row>
    <row r="22">
      <c r="A22" s="7">
        <f>TEXT(B10,"0.0%")&amp;" limits"</f>
        <v/>
      </c>
      <c r="B22" s="25">
        <f>IF(OR($B$7="",$B$8="",N($B$8)&lt;=0),"",SUMPRODUCT(--(_xlfn.POISSON.DIST(x_helper!$A$2:$A$5001,$B$8,TRUE)&lt;(1-B10)/2)))</f>
        <v/>
      </c>
      <c r="C22" s="25">
        <f>IF(OR($B$7="",$B$8="",N($B$8)&lt;=0),"",SUMPRODUCT(--(_xlfn.POISSON.DIST(x_helper!$A$2:$A$5001,$B$8,TRUE)&lt;1-(1-B10)/2)))</f>
        <v/>
      </c>
      <c r="D22" s="7">
        <f>IF(OR($B$7="",$B$8="",N($B$8)&lt;=0),"",IF(B7&gt;C22,"Yes","No"))</f>
        <v/>
      </c>
      <c r="E22" s="7">
        <f>IF(OR($B$7="",$B$8="",N($B$8)&lt;=0),"",IF(B7&lt;B22,"Yes","No"))</f>
        <v/>
      </c>
      <c r="H22" s="2" t="inlineStr">
        <is>
          <t>Book: 17 to 36 at 95%</t>
        </is>
      </c>
    </row>
    <row r="23">
      <c r="A23" s="7">
        <f>TEXT(B11,"0.0%")&amp;" limits"</f>
        <v/>
      </c>
      <c r="B23" s="25">
        <f>IF(OR($B$7="",$B$8="",N($B$8)&lt;=0),"",SUMPRODUCT(--(_xlfn.POISSON.DIST(x_helper!$A$2:$A$5001,$B$8,TRUE)&lt;(1-B11)/2)))</f>
        <v/>
      </c>
      <c r="C23" s="25">
        <f>IF(OR($B$7="",$B$8="",N($B$8)&lt;=0),"",SUMPRODUCT(--(_xlfn.POISSON.DIST(x_helper!$A$2:$A$5001,$B$8,TRUE)&lt;1-(1-B11)/2)))</f>
        <v/>
      </c>
      <c r="D23" s="7">
        <f>IF(OR($B$7="",$B$8="",N($B$8)&lt;=0),"",IF(B7&gt;C23,"Yes","No"))</f>
        <v/>
      </c>
      <c r="E23" s="7">
        <f>IF(OR($B$7="",$B$8="",N($B$8)&lt;=0),"",IF(B7&lt;B23,"Yes","No"))</f>
        <v/>
      </c>
      <c r="H23" s="2" t="inlineStr">
        <is>
          <t>Book: 12 to 43 at 99.8%; 48 lies above</t>
        </is>
      </c>
    </row>
    <row r="24">
      <c r="A24" s="8" t="inlineStr">
        <is>
          <t>Normal approximation, upper limit 2 = E + z × √E (for comparison only)</t>
        </is>
      </c>
      <c r="C24" s="20">
        <f>IF(OR($B$7="",$B$8="",N($B$8)&lt;=0),"",B8+_xlfn.NORM.S.INV(1-(1-B11)/2)*SQRT(B8))</f>
        <v/>
      </c>
      <c r="H24" s="2" t="inlineStr">
        <is>
          <t>Book: 41.8 (rounds to 42)</t>
        </is>
      </c>
    </row>
    <row r="25">
      <c r="A25" s="8" t="inlineStr">
        <is>
          <t>Position on the funnel</t>
        </is>
      </c>
      <c r="B25" s="22">
        <f>IF(OR($B$7="",$B$8="",N($B$8)&lt;=0),"",IF(B7&gt;C23,"Above the "&amp;TEXT(B11,"0.0%")&amp;" upper limit",IF(B7&gt;C22,"Above the "&amp;TEXT(B10,"0.0%")&amp;" upper limit only",IF(B7&lt;B23,"Below the "&amp;TEXT(B11,"0.0%")&amp;" lower limit",IF(B7&lt;B22,"Below the "&amp;TEXT(B10,"0.0%")&amp;" lower limit only","Within the "&amp;TEXT(B10,"0.0%")&amp;" limits")))))</f>
        <v/>
      </c>
      <c r="C25" s="9" t="n"/>
      <c r="D25" s="9" t="n"/>
      <c r="E25" s="10" t="n"/>
    </row>
    <row r="27">
      <c r="A27" s="12" t="inlineStr">
        <is>
          <t>FUNNEL TABLE (edit the expected counts in column A to suit your registry)</t>
        </is>
      </c>
    </row>
    <row r="28">
      <c r="A28" s="11" t="inlineStr">
        <is>
          <t>Expected E</t>
        </is>
      </c>
      <c r="B28" s="11" t="inlineStr">
        <is>
          <t>Lower limit 1</t>
        </is>
      </c>
      <c r="C28" s="11" t="inlineStr">
        <is>
          <t>Upper limit 1</t>
        </is>
      </c>
      <c r="D28" s="11" t="inlineStr">
        <is>
          <t>Lower limit 2</t>
        </is>
      </c>
      <c r="E28" s="11" t="inlineStr">
        <is>
          <t>Upper limit 2</t>
        </is>
      </c>
      <c r="F28" s="11" t="inlineStr">
        <is>
          <t>Your unit: O (at its E)</t>
        </is>
      </c>
    </row>
    <row r="29">
      <c r="A29" s="17" t="n">
        <v>2</v>
      </c>
      <c r="B29" s="26">
        <f>IF(A29="","",SUMPRODUCT(--(_xlfn.POISSON.DIST(x_helper!$A$2:$A$5001,A29,TRUE)&lt;(1-$B$10)/2)))</f>
        <v/>
      </c>
      <c r="C29" s="26">
        <f>IF(A29="","",SUMPRODUCT(--(_xlfn.POISSON.DIST(x_helper!$A$2:$A$5001,A29,TRUE)&lt;1-(1-$B$10)/2)))</f>
        <v/>
      </c>
      <c r="D29" s="26">
        <f>IF(A29="","",SUMPRODUCT(--(_xlfn.POISSON.DIST(x_helper!$A$2:$A$5001,A29,TRUE)&lt;(1-$B$11)/2)))</f>
        <v/>
      </c>
      <c r="E29" s="26">
        <f>IF(A29="","",SUMPRODUCT(--(_xlfn.POISSON.DIST(x_helper!$A$2:$A$5001,A29,TRUE)&lt;1-(1-$B$11)/2)))</f>
        <v/>
      </c>
    </row>
    <row r="30">
      <c r="A30" s="17" t="n">
        <v>5</v>
      </c>
      <c r="B30" s="26">
        <f>IF(A30="","",SUMPRODUCT(--(_xlfn.POISSON.DIST(x_helper!$A$2:$A$5001,A30,TRUE)&lt;(1-$B$10)/2)))</f>
        <v/>
      </c>
      <c r="C30" s="26">
        <f>IF(A30="","",SUMPRODUCT(--(_xlfn.POISSON.DIST(x_helper!$A$2:$A$5001,A30,TRUE)&lt;1-(1-$B$10)/2)))</f>
        <v/>
      </c>
      <c r="D30" s="26">
        <f>IF(A30="","",SUMPRODUCT(--(_xlfn.POISSON.DIST(x_helper!$A$2:$A$5001,A30,TRUE)&lt;(1-$B$11)/2)))</f>
        <v/>
      </c>
      <c r="E30" s="26">
        <f>IF(A30="","",SUMPRODUCT(--(_xlfn.POISSON.DIST(x_helper!$A$2:$A$5001,A30,TRUE)&lt;1-(1-$B$11)/2)))</f>
        <v/>
      </c>
    </row>
    <row r="31">
      <c r="A31" s="17" t="n">
        <v>10</v>
      </c>
      <c r="B31" s="26">
        <f>IF(A31="","",SUMPRODUCT(--(_xlfn.POISSON.DIST(x_helper!$A$2:$A$5001,A31,TRUE)&lt;(1-$B$10)/2)))</f>
        <v/>
      </c>
      <c r="C31" s="26">
        <f>IF(A31="","",SUMPRODUCT(--(_xlfn.POISSON.DIST(x_helper!$A$2:$A$5001,A31,TRUE)&lt;1-(1-$B$10)/2)))</f>
        <v/>
      </c>
      <c r="D31" s="26">
        <f>IF(A31="","",SUMPRODUCT(--(_xlfn.POISSON.DIST(x_helper!$A$2:$A$5001,A31,TRUE)&lt;(1-$B$11)/2)))</f>
        <v/>
      </c>
      <c r="E31" s="26">
        <f>IF(A31="","",SUMPRODUCT(--(_xlfn.POISSON.DIST(x_helper!$A$2:$A$5001,A31,TRUE)&lt;1-(1-$B$11)/2)))</f>
        <v/>
      </c>
    </row>
    <row r="32">
      <c r="A32" s="17" t="n">
        <v>15</v>
      </c>
      <c r="B32" s="26">
        <f>IF(A32="","",SUMPRODUCT(--(_xlfn.POISSON.DIST(x_helper!$A$2:$A$5001,A32,TRUE)&lt;(1-$B$10)/2)))</f>
        <v/>
      </c>
      <c r="C32" s="26">
        <f>IF(A32="","",SUMPRODUCT(--(_xlfn.POISSON.DIST(x_helper!$A$2:$A$5001,A32,TRUE)&lt;1-(1-$B$10)/2)))</f>
        <v/>
      </c>
      <c r="D32" s="26">
        <f>IF(A32="","",SUMPRODUCT(--(_xlfn.POISSON.DIST(x_helper!$A$2:$A$5001,A32,TRUE)&lt;(1-$B$11)/2)))</f>
        <v/>
      </c>
      <c r="E32" s="26">
        <f>IF(A32="","",SUMPRODUCT(--(_xlfn.POISSON.DIST(x_helper!$A$2:$A$5001,A32,TRUE)&lt;1-(1-$B$11)/2)))</f>
        <v/>
      </c>
    </row>
    <row r="33">
      <c r="A33" s="17" t="n">
        <v>20</v>
      </c>
      <c r="B33" s="26">
        <f>IF(A33="","",SUMPRODUCT(--(_xlfn.POISSON.DIST(x_helper!$A$2:$A$5001,A33,TRUE)&lt;(1-$B$10)/2)))</f>
        <v/>
      </c>
      <c r="C33" s="26">
        <f>IF(A33="","",SUMPRODUCT(--(_xlfn.POISSON.DIST(x_helper!$A$2:$A$5001,A33,TRUE)&lt;1-(1-$B$10)/2)))</f>
        <v/>
      </c>
      <c r="D33" s="26">
        <f>IF(A33="","",SUMPRODUCT(--(_xlfn.POISSON.DIST(x_helper!$A$2:$A$5001,A33,TRUE)&lt;(1-$B$11)/2)))</f>
        <v/>
      </c>
      <c r="E33" s="26">
        <f>IF(A33="","",SUMPRODUCT(--(_xlfn.POISSON.DIST(x_helper!$A$2:$A$5001,A33,TRUE)&lt;1-(1-$B$11)/2)))</f>
        <v/>
      </c>
    </row>
    <row r="34">
      <c r="A34" s="17" t="n">
        <v>26</v>
      </c>
      <c r="B34" s="26">
        <f>IF(A34="","",SUMPRODUCT(--(_xlfn.POISSON.DIST(x_helper!$A$2:$A$5001,A34,TRUE)&lt;(1-$B$10)/2)))</f>
        <v/>
      </c>
      <c r="C34" s="26">
        <f>IF(A34="","",SUMPRODUCT(--(_xlfn.POISSON.DIST(x_helper!$A$2:$A$5001,A34,TRUE)&lt;1-(1-$B$10)/2)))</f>
        <v/>
      </c>
      <c r="D34" s="26">
        <f>IF(A34="","",SUMPRODUCT(--(_xlfn.POISSON.DIST(x_helper!$A$2:$A$5001,A34,TRUE)&lt;(1-$B$11)/2)))</f>
        <v/>
      </c>
      <c r="E34" s="26">
        <f>IF(A34="","",SUMPRODUCT(--(_xlfn.POISSON.DIST(x_helper!$A$2:$A$5001,A34,TRUE)&lt;1-(1-$B$11)/2)))</f>
        <v/>
      </c>
    </row>
    <row r="35">
      <c r="A35" s="17" t="n">
        <v>30</v>
      </c>
      <c r="B35" s="26">
        <f>IF(A35="","",SUMPRODUCT(--(_xlfn.POISSON.DIST(x_helper!$A$2:$A$5001,A35,TRUE)&lt;(1-$B$10)/2)))</f>
        <v/>
      </c>
      <c r="C35" s="26">
        <f>IF(A35="","",SUMPRODUCT(--(_xlfn.POISSON.DIST(x_helper!$A$2:$A$5001,A35,TRUE)&lt;1-(1-$B$10)/2)))</f>
        <v/>
      </c>
      <c r="D35" s="26">
        <f>IF(A35="","",SUMPRODUCT(--(_xlfn.POISSON.DIST(x_helper!$A$2:$A$5001,A35,TRUE)&lt;(1-$B$11)/2)))</f>
        <v/>
      </c>
      <c r="E35" s="26">
        <f>IF(A35="","",SUMPRODUCT(--(_xlfn.POISSON.DIST(x_helper!$A$2:$A$5001,A35,TRUE)&lt;1-(1-$B$11)/2)))</f>
        <v/>
      </c>
    </row>
    <row r="36">
      <c r="A36" s="17" t="n">
        <v>40</v>
      </c>
      <c r="B36" s="26">
        <f>IF(A36="","",SUMPRODUCT(--(_xlfn.POISSON.DIST(x_helper!$A$2:$A$5001,A36,TRUE)&lt;(1-$B$10)/2)))</f>
        <v/>
      </c>
      <c r="C36" s="26">
        <f>IF(A36="","",SUMPRODUCT(--(_xlfn.POISSON.DIST(x_helper!$A$2:$A$5001,A36,TRUE)&lt;1-(1-$B$10)/2)))</f>
        <v/>
      </c>
      <c r="D36" s="26">
        <f>IF(A36="","",SUMPRODUCT(--(_xlfn.POISSON.DIST(x_helper!$A$2:$A$5001,A36,TRUE)&lt;(1-$B$11)/2)))</f>
        <v/>
      </c>
      <c r="E36" s="26">
        <f>IF(A36="","",SUMPRODUCT(--(_xlfn.POISSON.DIST(x_helper!$A$2:$A$5001,A36,TRUE)&lt;1-(1-$B$11)/2)))</f>
        <v/>
      </c>
    </row>
    <row r="37">
      <c r="A37" s="17" t="n">
        <v>50</v>
      </c>
      <c r="B37" s="26">
        <f>IF(A37="","",SUMPRODUCT(--(_xlfn.POISSON.DIST(x_helper!$A$2:$A$5001,A37,TRUE)&lt;(1-$B$10)/2)))</f>
        <v/>
      </c>
      <c r="C37" s="26">
        <f>IF(A37="","",SUMPRODUCT(--(_xlfn.POISSON.DIST(x_helper!$A$2:$A$5001,A37,TRUE)&lt;1-(1-$B$10)/2)))</f>
        <v/>
      </c>
      <c r="D37" s="26">
        <f>IF(A37="","",SUMPRODUCT(--(_xlfn.POISSON.DIST(x_helper!$A$2:$A$5001,A37,TRUE)&lt;(1-$B$11)/2)))</f>
        <v/>
      </c>
      <c r="E37" s="26">
        <f>IF(A37="","",SUMPRODUCT(--(_xlfn.POISSON.DIST(x_helper!$A$2:$A$5001,A37,TRUE)&lt;1-(1-$B$11)/2)))</f>
        <v/>
      </c>
    </row>
    <row r="38">
      <c r="A38" s="17" t="n">
        <v>60</v>
      </c>
      <c r="B38" s="26">
        <f>IF(A38="","",SUMPRODUCT(--(_xlfn.POISSON.DIST(x_helper!$A$2:$A$5001,A38,TRUE)&lt;(1-$B$10)/2)))</f>
        <v/>
      </c>
      <c r="C38" s="26">
        <f>IF(A38="","",SUMPRODUCT(--(_xlfn.POISSON.DIST(x_helper!$A$2:$A$5001,A38,TRUE)&lt;1-(1-$B$10)/2)))</f>
        <v/>
      </c>
      <c r="D38" s="26">
        <f>IF(A38="","",SUMPRODUCT(--(_xlfn.POISSON.DIST(x_helper!$A$2:$A$5001,A38,TRUE)&lt;(1-$B$11)/2)))</f>
        <v/>
      </c>
      <c r="E38" s="26">
        <f>IF(A38="","",SUMPRODUCT(--(_xlfn.POISSON.DIST(x_helper!$A$2:$A$5001,A38,TRUE)&lt;1-(1-$B$11)/2)))</f>
        <v/>
      </c>
    </row>
    <row r="39">
      <c r="A39" s="17" t="n">
        <v>80</v>
      </c>
      <c r="B39" s="26">
        <f>IF(A39="","",SUMPRODUCT(--(_xlfn.POISSON.DIST(x_helper!$A$2:$A$5001,A39,TRUE)&lt;(1-$B$10)/2)))</f>
        <v/>
      </c>
      <c r="C39" s="26">
        <f>IF(A39="","",SUMPRODUCT(--(_xlfn.POISSON.DIST(x_helper!$A$2:$A$5001,A39,TRUE)&lt;1-(1-$B$10)/2)))</f>
        <v/>
      </c>
      <c r="D39" s="26">
        <f>IF(A39="","",SUMPRODUCT(--(_xlfn.POISSON.DIST(x_helper!$A$2:$A$5001,A39,TRUE)&lt;(1-$B$11)/2)))</f>
        <v/>
      </c>
      <c r="E39" s="26">
        <f>IF(A39="","",SUMPRODUCT(--(_xlfn.POISSON.DIST(x_helper!$A$2:$A$5001,A39,TRUE)&lt;1-(1-$B$11)/2)))</f>
        <v/>
      </c>
    </row>
    <row r="40">
      <c r="A40" s="17" t="n">
        <v>100</v>
      </c>
      <c r="B40" s="26">
        <f>IF(A40="","",SUMPRODUCT(--(_xlfn.POISSON.DIST(x_helper!$A$2:$A$5001,A40,TRUE)&lt;(1-$B$10)/2)))</f>
        <v/>
      </c>
      <c r="C40" s="26">
        <f>IF(A40="","",SUMPRODUCT(--(_xlfn.POISSON.DIST(x_helper!$A$2:$A$5001,A40,TRUE)&lt;1-(1-$B$10)/2)))</f>
        <v/>
      </c>
      <c r="D40" s="26">
        <f>IF(A40="","",SUMPRODUCT(--(_xlfn.POISSON.DIST(x_helper!$A$2:$A$5001,A40,TRUE)&lt;(1-$B$11)/2)))</f>
        <v/>
      </c>
      <c r="E40" s="26">
        <f>IF(A40="","",SUMPRODUCT(--(_xlfn.POISSON.DIST(x_helper!$A$2:$A$5001,A40,TRUE)&lt;1-(1-$B$11)/2)))</f>
        <v/>
      </c>
    </row>
    <row r="41">
      <c r="A41" s="17" t="n">
        <v>150</v>
      </c>
      <c r="B41" s="26">
        <f>IF(A41="","",SUMPRODUCT(--(_xlfn.POISSON.DIST(x_helper!$A$2:$A$5001,A41,TRUE)&lt;(1-$B$10)/2)))</f>
        <v/>
      </c>
      <c r="C41" s="26">
        <f>IF(A41="","",SUMPRODUCT(--(_xlfn.POISSON.DIST(x_helper!$A$2:$A$5001,A41,TRUE)&lt;1-(1-$B$10)/2)))</f>
        <v/>
      </c>
      <c r="D41" s="26">
        <f>IF(A41="","",SUMPRODUCT(--(_xlfn.POISSON.DIST(x_helper!$A$2:$A$5001,A41,TRUE)&lt;(1-$B$11)/2)))</f>
        <v/>
      </c>
      <c r="E41" s="26">
        <f>IF(A41="","",SUMPRODUCT(--(_xlfn.POISSON.DIST(x_helper!$A$2:$A$5001,A41,TRUE)&lt;1-(1-$B$11)/2)))</f>
        <v/>
      </c>
    </row>
    <row r="42">
      <c r="A42" s="17" t="n">
        <v>200</v>
      </c>
      <c r="B42" s="26">
        <f>IF(A42="","",SUMPRODUCT(--(_xlfn.POISSON.DIST(x_helper!$A$2:$A$5001,A42,TRUE)&lt;(1-$B$10)/2)))</f>
        <v/>
      </c>
      <c r="C42" s="26">
        <f>IF(A42="","",SUMPRODUCT(--(_xlfn.POISSON.DIST(x_helper!$A$2:$A$5001,A42,TRUE)&lt;1-(1-$B$10)/2)))</f>
        <v/>
      </c>
      <c r="D42" s="26">
        <f>IF(A42="","",SUMPRODUCT(--(_xlfn.POISSON.DIST(x_helper!$A$2:$A$5001,A42,TRUE)&lt;(1-$B$11)/2)))</f>
        <v/>
      </c>
      <c r="E42" s="26">
        <f>IF(A42="","",SUMPRODUCT(--(_xlfn.POISSON.DIST(x_helper!$A$2:$A$5001,A42,TRUE)&lt;1-(1-$B$11)/2)))</f>
        <v/>
      </c>
    </row>
    <row r="43">
      <c r="A43" s="27">
        <f>IF($B$8="",NA(),$B$8)</f>
        <v/>
      </c>
      <c r="F43" s="28">
        <f>IF(OR($B$7="",$B$8=""),NA(),$B$7)</f>
        <v/>
      </c>
      <c r="G43" s="29" t="inlineStr">
        <is>
          <t>← plotted point (shows the N/A error value while inputs are blank; intentional)</t>
        </is>
      </c>
    </row>
    <row r="45">
      <c r="A45" s="12" t="inlineStr">
        <is>
          <t>INTERPRETATION PROMPTS — answer in words before the result is filed</t>
        </is>
      </c>
    </row>
    <row r="46" ht="32" customHeight="1">
      <c r="A46" s="8" t="inlineStr">
        <is>
          <t>What case-mix variables does E adjust for, and what is left unadjusted?</t>
        </is>
      </c>
      <c r="B46" s="23" t="inlineStr">
        <is>
          <t>Case-mix adjustment limited to registry variables; center effects unchecked.</t>
        </is>
      </c>
      <c r="C46" s="9" t="n"/>
      <c r="D46" s="9" t="n"/>
      <c r="E46" s="9" t="n"/>
      <c r="F46" s="10" t="n"/>
    </row>
    <row r="47" ht="32" customHeight="1">
      <c r="A47" s="8" t="inlineStr">
        <is>
          <t>What can the O/E not show (cause, sizes, lots)?</t>
        </is>
      </c>
      <c r="B47" s="23" t="inlineStr">
        <is>
          <t>Not the cause of the excess, or which sizes and lots drive it.</t>
        </is>
      </c>
      <c r="C47" s="9" t="n"/>
      <c r="D47" s="9" t="n"/>
      <c r="E47" s="9" t="n"/>
      <c r="F47" s="10" t="n"/>
    </row>
    <row r="48" ht="32" customHeight="1">
      <c r="A48" s="8" t="inlineStr">
        <is>
          <t>What do the revision reasons and strata show?</t>
        </is>
      </c>
      <c r="B48" s="23" t="inlineStr">
        <is>
          <t>Liner dissociation 21 of 48; 17 of 21 in size 52–54 liners made after Year 3, month 4.</t>
        </is>
      </c>
      <c r="C48" s="9" t="n"/>
      <c r="D48" s="9" t="n"/>
      <c r="E48" s="9" t="n"/>
      <c r="F48" s="10" t="n"/>
    </row>
    <row r="49" ht="32" customHeight="1">
      <c r="A49" s="8" t="inlineStr">
        <is>
          <t>What does it point to, and what is the next step?</t>
        </is>
      </c>
      <c r="B49" s="23" t="inlineStr">
        <is>
          <t>Liner dissociation, size 52–54, post-change period; frame the assessment question (Tool T-12).</t>
        </is>
      </c>
      <c r="C49" s="9" t="n"/>
      <c r="D49" s="9" t="n"/>
      <c r="E49" s="9" t="n"/>
      <c r="F49" s="10" t="n"/>
    </row>
    <row r="50" ht="32" customHeight="1">
      <c r="A50" s="8" t="inlineStr">
        <is>
          <t>Reviewer and date</t>
        </is>
      </c>
      <c r="B50" s="23" t="n"/>
      <c r="C50" s="9" t="n"/>
      <c r="D50" s="9" t="n"/>
      <c r="E50" s="9" t="n"/>
      <c r="F50" s="10" t="n"/>
    </row>
  </sheetData>
  <mergeCells count="7">
    <mergeCell ref="B6:F6"/>
    <mergeCell ref="B47:F47"/>
    <mergeCell ref="B48:F48"/>
    <mergeCell ref="B25:E25"/>
    <mergeCell ref="B46:F46"/>
    <mergeCell ref="B50:F50"/>
    <mergeCell ref="B49:F49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34" customWidth="1" min="8" max="8"/>
    <col width="12" customWidth="1" min="9" max="9"/>
  </cols>
  <sheetData>
    <row r="1">
      <c r="A1" s="1" t="inlineStr">
        <is>
          <t>Registry observed ÷ expected and exact Poisson funnel limits — Your data</t>
        </is>
      </c>
    </row>
    <row r="2">
      <c r="A2" s="2" t="inlineStr">
        <is>
          <t>Signal Management in Medical Device Vigilance · Selim Medical Press · © 2026 · Tool T-7 · Chapter 9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4">
      <c r="A4" s="5" t="inlineStr">
        <is>
          <t>Legend:</t>
        </is>
      </c>
      <c r="B4" s="6" t="inlineStr">
        <is>
          <t>Input (edit)</t>
        </is>
      </c>
      <c r="C4" s="7" t="inlineStr">
        <is>
          <t>Calculated (do not edit)</t>
        </is>
      </c>
    </row>
    <row r="6">
      <c r="A6" s="8" t="inlineStr">
        <is>
          <t>Source and data cut</t>
        </is>
      </c>
      <c r="B6" s="6" t="n"/>
      <c r="C6" s="9" t="n"/>
      <c r="D6" s="9" t="n"/>
      <c r="E6" s="9" t="n"/>
      <c r="F6" s="10" t="n"/>
    </row>
    <row r="7">
      <c r="A7" s="8" t="inlineStr">
        <is>
          <t>Observed events O (e.g., revisions)</t>
        </is>
      </c>
      <c r="B7" s="18" t="n"/>
    </row>
    <row r="8">
      <c r="A8" s="8" t="inlineStr">
        <is>
          <t>Expected events E (case-mix adjusted)</t>
        </is>
      </c>
      <c r="B8" s="17" t="n"/>
    </row>
    <row r="9">
      <c r="A9" s="8" t="inlineStr">
        <is>
          <t>Confidence level for O/E</t>
        </is>
      </c>
      <c r="B9" s="15" t="n">
        <v>0.95</v>
      </c>
    </row>
    <row r="10">
      <c r="A10" s="8" t="inlineStr">
        <is>
          <t>Funnel limit 1 (two-sided coverage)</t>
        </is>
      </c>
      <c r="B10" s="15" t="n">
        <v>0.95</v>
      </c>
    </row>
    <row r="11">
      <c r="A11" s="8" t="inlineStr">
        <is>
          <t>Funnel limit 2 (two-sided coverage)</t>
        </is>
      </c>
      <c r="B11" s="15" t="n">
        <v>0.998</v>
      </c>
    </row>
    <row r="13">
      <c r="A13" s="12" t="inlineStr">
        <is>
          <t>RESULTS</t>
        </is>
      </c>
    </row>
    <row r="14">
      <c r="A14" s="11" t="inlineStr">
        <is>
          <t>Statistic</t>
        </is>
      </c>
      <c r="B14" s="11" t="inlineStr">
        <is>
          <t>Estimate</t>
        </is>
      </c>
      <c r="C14" s="11" t="inlineStr">
        <is>
          <t>Lower</t>
        </is>
      </c>
      <c r="D14" s="11" t="inlineStr">
        <is>
          <t>Upper</t>
        </is>
      </c>
    </row>
    <row r="15" ht="30" customHeight="1">
      <c r="A15" s="8" t="inlineStr">
        <is>
          <t>O/E, exact Poisson CI via CHISQ.INV:  lower = χ²(α/2, 2O)/2 ÷ E;  upper = χ²(1−α/2, 2O+2)/2 ÷ E</t>
        </is>
      </c>
      <c r="B15" s="19">
        <f>IF(OR($B$7="",$B$8="",N($B$8)&lt;=0),"",B7/B8)</f>
        <v/>
      </c>
      <c r="C15" s="19">
        <f>IF(OR($B$7="",$B$8="",N($B$8)&lt;=0),"",IF(B7=0,0,_xlfn.CHISQ.INV((1-B9)/2,2*B7)/2)/B8)</f>
        <v/>
      </c>
      <c r="D15" s="19">
        <f>IF(OR($B$7="",$B$8="",N($B$8)&lt;=0),"",_xlfn.CHISQ.INV(1-(1-B9)/2,2*B7+2)/2/B8)</f>
        <v/>
      </c>
    </row>
    <row r="16" ht="30" customHeight="1">
      <c r="A16" s="8" t="inlineStr">
        <is>
          <t>Cross-check via GAMMA.INV:  lower = Γ⁻¹(α/2; O, 1) ÷ E;  upper = Γ⁻¹(1−α/2; O+1, 1) ÷ E</t>
        </is>
      </c>
      <c r="B16" s="21">
        <f>IF(OR($B$7="",$B$8="",N($B$8)&lt;=0),"",B7/B8)</f>
        <v/>
      </c>
      <c r="C16" s="21">
        <f>IF(OR($B$7="",$B$8="",N($B$8)&lt;=0),"",IF(B7=0,0,_xlfn.GAMMA.INV((1-B9)/2,B7,1))/B8)</f>
        <v/>
      </c>
      <c r="D16" s="21">
        <f>IF(OR($B$7="",$B$8="",N($B$8)&lt;=0),"",_xlfn.GAMMA.INV(1-(1-B9)/2,B7+1,1)/B8)</f>
        <v/>
      </c>
    </row>
    <row r="17">
      <c r="A17" s="8" t="inlineStr">
        <is>
          <t>Excess events = O − E</t>
        </is>
      </c>
      <c r="B17" s="20">
        <f>IF(OR($B$7="",$B$8="",N($B$8)&lt;=0),"",B7-B8)</f>
        <v/>
      </c>
    </row>
    <row r="18">
      <c r="A18" s="8" t="inlineStr">
        <is>
          <t>One-sided P(X ≥ O | E) = 1 − POISSON.DIST(O − 1, E, TRUE)</t>
        </is>
      </c>
      <c r="B18" s="24">
        <f>IF(OR($B$7="",$B$8="",N($B$8)&lt;=0),"",IF(B7=0,1,1-_xlfn.POISSON.DIST(B7-1,B8,TRUE)))</f>
        <v/>
      </c>
    </row>
    <row r="20">
      <c r="A20" s="12" t="inlineStr">
        <is>
          <t>FUNNEL LIMITS AT THIS E (exact Poisson quantiles: smallest x with P(X ≤ x) ≥ p)</t>
        </is>
      </c>
    </row>
    <row r="21">
      <c r="A21" s="11" t="inlineStr">
        <is>
          <t>Limit</t>
        </is>
      </c>
      <c r="B21" s="11" t="inlineStr">
        <is>
          <t>Lower limit (count)</t>
        </is>
      </c>
      <c r="C21" s="11" t="inlineStr">
        <is>
          <t>Upper limit (count)</t>
        </is>
      </c>
      <c r="D21" s="11" t="inlineStr">
        <is>
          <t>O above upper?</t>
        </is>
      </c>
      <c r="E21" s="11" t="inlineStr">
        <is>
          <t>O below lower?</t>
        </is>
      </c>
    </row>
    <row r="22">
      <c r="A22" s="7">
        <f>TEXT(B10,"0.0%")&amp;" limits"</f>
        <v/>
      </c>
      <c r="B22" s="25">
        <f>IF(OR($B$7="",$B$8="",N($B$8)&lt;=0),"",SUMPRODUCT(--(_xlfn.POISSON.DIST(x_helper!$A$2:$A$5001,$B$8,TRUE)&lt;(1-B10)/2)))</f>
        <v/>
      </c>
      <c r="C22" s="25">
        <f>IF(OR($B$7="",$B$8="",N($B$8)&lt;=0),"",SUMPRODUCT(--(_xlfn.POISSON.DIST(x_helper!$A$2:$A$5001,$B$8,TRUE)&lt;1-(1-B10)/2)))</f>
        <v/>
      </c>
      <c r="D22" s="7">
        <f>IF(OR($B$7="",$B$8="",N($B$8)&lt;=0),"",IF(B7&gt;C22,"Yes","No"))</f>
        <v/>
      </c>
      <c r="E22" s="7">
        <f>IF(OR($B$7="",$B$8="",N($B$8)&lt;=0),"",IF(B7&lt;B22,"Yes","No"))</f>
        <v/>
      </c>
    </row>
    <row r="23">
      <c r="A23" s="7">
        <f>TEXT(B11,"0.0%")&amp;" limits"</f>
        <v/>
      </c>
      <c r="B23" s="25">
        <f>IF(OR($B$7="",$B$8="",N($B$8)&lt;=0),"",SUMPRODUCT(--(_xlfn.POISSON.DIST(x_helper!$A$2:$A$5001,$B$8,TRUE)&lt;(1-B11)/2)))</f>
        <v/>
      </c>
      <c r="C23" s="25">
        <f>IF(OR($B$7="",$B$8="",N($B$8)&lt;=0),"",SUMPRODUCT(--(_xlfn.POISSON.DIST(x_helper!$A$2:$A$5001,$B$8,TRUE)&lt;1-(1-B11)/2)))</f>
        <v/>
      </c>
      <c r="D23" s="7">
        <f>IF(OR($B$7="",$B$8="",N($B$8)&lt;=0),"",IF(B7&gt;C23,"Yes","No"))</f>
        <v/>
      </c>
      <c r="E23" s="7">
        <f>IF(OR($B$7="",$B$8="",N($B$8)&lt;=0),"",IF(B7&lt;B23,"Yes","No"))</f>
        <v/>
      </c>
    </row>
    <row r="24">
      <c r="A24" s="8" t="inlineStr">
        <is>
          <t>Normal approximation, upper limit 2 = E + z × √E (for comparison only)</t>
        </is>
      </c>
      <c r="C24" s="20">
        <f>IF(OR($B$7="",$B$8="",N($B$8)&lt;=0),"",B8+_xlfn.NORM.S.INV(1-(1-B11)/2)*SQRT(B8))</f>
        <v/>
      </c>
    </row>
    <row r="25">
      <c r="A25" s="8" t="inlineStr">
        <is>
          <t>Position on the funnel</t>
        </is>
      </c>
      <c r="B25" s="22">
        <f>IF(OR($B$7="",$B$8="",N($B$8)&lt;=0),"",IF(B7&gt;C23,"Above the "&amp;TEXT(B11,"0.0%")&amp;" upper limit",IF(B7&gt;C22,"Above the "&amp;TEXT(B10,"0.0%")&amp;" upper limit only",IF(B7&lt;B23,"Below the "&amp;TEXT(B11,"0.0%")&amp;" lower limit",IF(B7&lt;B22,"Below the "&amp;TEXT(B10,"0.0%")&amp;" lower limit only","Within the "&amp;TEXT(B10,"0.0%")&amp;" limits")))))</f>
        <v/>
      </c>
      <c r="C25" s="9" t="n"/>
      <c r="D25" s="9" t="n"/>
      <c r="E25" s="10" t="n"/>
    </row>
    <row r="27">
      <c r="A27" s="12" t="inlineStr">
        <is>
          <t>FUNNEL TABLE (edit the expected counts in column A to suit your registry)</t>
        </is>
      </c>
    </row>
    <row r="28">
      <c r="A28" s="11" t="inlineStr">
        <is>
          <t>Expected E</t>
        </is>
      </c>
      <c r="B28" s="11" t="inlineStr">
        <is>
          <t>Lower limit 1</t>
        </is>
      </c>
      <c r="C28" s="11" t="inlineStr">
        <is>
          <t>Upper limit 1</t>
        </is>
      </c>
      <c r="D28" s="11" t="inlineStr">
        <is>
          <t>Lower limit 2</t>
        </is>
      </c>
      <c r="E28" s="11" t="inlineStr">
        <is>
          <t>Upper limit 2</t>
        </is>
      </c>
      <c r="F28" s="11" t="inlineStr">
        <is>
          <t>Your unit: O (at its E)</t>
        </is>
      </c>
    </row>
    <row r="29">
      <c r="A29" s="17" t="n">
        <v>2</v>
      </c>
      <c r="B29" s="26">
        <f>IF(A29="","",SUMPRODUCT(--(_xlfn.POISSON.DIST(x_helper!$A$2:$A$5001,A29,TRUE)&lt;(1-$B$10)/2)))</f>
        <v/>
      </c>
      <c r="C29" s="26">
        <f>IF(A29="","",SUMPRODUCT(--(_xlfn.POISSON.DIST(x_helper!$A$2:$A$5001,A29,TRUE)&lt;1-(1-$B$10)/2)))</f>
        <v/>
      </c>
      <c r="D29" s="26">
        <f>IF(A29="","",SUMPRODUCT(--(_xlfn.POISSON.DIST(x_helper!$A$2:$A$5001,A29,TRUE)&lt;(1-$B$11)/2)))</f>
        <v/>
      </c>
      <c r="E29" s="26">
        <f>IF(A29="","",SUMPRODUCT(--(_xlfn.POISSON.DIST(x_helper!$A$2:$A$5001,A29,TRUE)&lt;1-(1-$B$11)/2)))</f>
        <v/>
      </c>
    </row>
    <row r="30">
      <c r="A30" s="17" t="n">
        <v>5</v>
      </c>
      <c r="B30" s="26">
        <f>IF(A30="","",SUMPRODUCT(--(_xlfn.POISSON.DIST(x_helper!$A$2:$A$5001,A30,TRUE)&lt;(1-$B$10)/2)))</f>
        <v/>
      </c>
      <c r="C30" s="26">
        <f>IF(A30="","",SUMPRODUCT(--(_xlfn.POISSON.DIST(x_helper!$A$2:$A$5001,A30,TRUE)&lt;1-(1-$B$10)/2)))</f>
        <v/>
      </c>
      <c r="D30" s="26">
        <f>IF(A30="","",SUMPRODUCT(--(_xlfn.POISSON.DIST(x_helper!$A$2:$A$5001,A30,TRUE)&lt;(1-$B$11)/2)))</f>
        <v/>
      </c>
      <c r="E30" s="26">
        <f>IF(A30="","",SUMPRODUCT(--(_xlfn.POISSON.DIST(x_helper!$A$2:$A$5001,A30,TRUE)&lt;1-(1-$B$11)/2)))</f>
        <v/>
      </c>
    </row>
    <row r="31">
      <c r="A31" s="17" t="n">
        <v>10</v>
      </c>
      <c r="B31" s="26">
        <f>IF(A31="","",SUMPRODUCT(--(_xlfn.POISSON.DIST(x_helper!$A$2:$A$5001,A31,TRUE)&lt;(1-$B$10)/2)))</f>
        <v/>
      </c>
      <c r="C31" s="26">
        <f>IF(A31="","",SUMPRODUCT(--(_xlfn.POISSON.DIST(x_helper!$A$2:$A$5001,A31,TRUE)&lt;1-(1-$B$10)/2)))</f>
        <v/>
      </c>
      <c r="D31" s="26">
        <f>IF(A31="","",SUMPRODUCT(--(_xlfn.POISSON.DIST(x_helper!$A$2:$A$5001,A31,TRUE)&lt;(1-$B$11)/2)))</f>
        <v/>
      </c>
      <c r="E31" s="26">
        <f>IF(A31="","",SUMPRODUCT(--(_xlfn.POISSON.DIST(x_helper!$A$2:$A$5001,A31,TRUE)&lt;1-(1-$B$11)/2)))</f>
        <v/>
      </c>
    </row>
    <row r="32">
      <c r="A32" s="17" t="n">
        <v>15</v>
      </c>
      <c r="B32" s="26">
        <f>IF(A32="","",SUMPRODUCT(--(_xlfn.POISSON.DIST(x_helper!$A$2:$A$5001,A32,TRUE)&lt;(1-$B$10)/2)))</f>
        <v/>
      </c>
      <c r="C32" s="26">
        <f>IF(A32="","",SUMPRODUCT(--(_xlfn.POISSON.DIST(x_helper!$A$2:$A$5001,A32,TRUE)&lt;1-(1-$B$10)/2)))</f>
        <v/>
      </c>
      <c r="D32" s="26">
        <f>IF(A32="","",SUMPRODUCT(--(_xlfn.POISSON.DIST(x_helper!$A$2:$A$5001,A32,TRUE)&lt;(1-$B$11)/2)))</f>
        <v/>
      </c>
      <c r="E32" s="26">
        <f>IF(A32="","",SUMPRODUCT(--(_xlfn.POISSON.DIST(x_helper!$A$2:$A$5001,A32,TRUE)&lt;1-(1-$B$11)/2)))</f>
        <v/>
      </c>
    </row>
    <row r="33">
      <c r="A33" s="17" t="n">
        <v>20</v>
      </c>
      <c r="B33" s="26">
        <f>IF(A33="","",SUMPRODUCT(--(_xlfn.POISSON.DIST(x_helper!$A$2:$A$5001,A33,TRUE)&lt;(1-$B$10)/2)))</f>
        <v/>
      </c>
      <c r="C33" s="26">
        <f>IF(A33="","",SUMPRODUCT(--(_xlfn.POISSON.DIST(x_helper!$A$2:$A$5001,A33,TRUE)&lt;1-(1-$B$10)/2)))</f>
        <v/>
      </c>
      <c r="D33" s="26">
        <f>IF(A33="","",SUMPRODUCT(--(_xlfn.POISSON.DIST(x_helper!$A$2:$A$5001,A33,TRUE)&lt;(1-$B$11)/2)))</f>
        <v/>
      </c>
      <c r="E33" s="26">
        <f>IF(A33="","",SUMPRODUCT(--(_xlfn.POISSON.DIST(x_helper!$A$2:$A$5001,A33,TRUE)&lt;1-(1-$B$11)/2)))</f>
        <v/>
      </c>
    </row>
    <row r="34">
      <c r="A34" s="17" t="n">
        <v>26</v>
      </c>
      <c r="B34" s="26">
        <f>IF(A34="","",SUMPRODUCT(--(_xlfn.POISSON.DIST(x_helper!$A$2:$A$5001,A34,TRUE)&lt;(1-$B$10)/2)))</f>
        <v/>
      </c>
      <c r="C34" s="26">
        <f>IF(A34="","",SUMPRODUCT(--(_xlfn.POISSON.DIST(x_helper!$A$2:$A$5001,A34,TRUE)&lt;1-(1-$B$10)/2)))</f>
        <v/>
      </c>
      <c r="D34" s="26">
        <f>IF(A34="","",SUMPRODUCT(--(_xlfn.POISSON.DIST(x_helper!$A$2:$A$5001,A34,TRUE)&lt;(1-$B$11)/2)))</f>
        <v/>
      </c>
      <c r="E34" s="26">
        <f>IF(A34="","",SUMPRODUCT(--(_xlfn.POISSON.DIST(x_helper!$A$2:$A$5001,A34,TRUE)&lt;1-(1-$B$11)/2)))</f>
        <v/>
      </c>
    </row>
    <row r="35">
      <c r="A35" s="17" t="n">
        <v>30</v>
      </c>
      <c r="B35" s="26">
        <f>IF(A35="","",SUMPRODUCT(--(_xlfn.POISSON.DIST(x_helper!$A$2:$A$5001,A35,TRUE)&lt;(1-$B$10)/2)))</f>
        <v/>
      </c>
      <c r="C35" s="26">
        <f>IF(A35="","",SUMPRODUCT(--(_xlfn.POISSON.DIST(x_helper!$A$2:$A$5001,A35,TRUE)&lt;1-(1-$B$10)/2)))</f>
        <v/>
      </c>
      <c r="D35" s="26">
        <f>IF(A35="","",SUMPRODUCT(--(_xlfn.POISSON.DIST(x_helper!$A$2:$A$5001,A35,TRUE)&lt;(1-$B$11)/2)))</f>
        <v/>
      </c>
      <c r="E35" s="26">
        <f>IF(A35="","",SUMPRODUCT(--(_xlfn.POISSON.DIST(x_helper!$A$2:$A$5001,A35,TRUE)&lt;1-(1-$B$11)/2)))</f>
        <v/>
      </c>
    </row>
    <row r="36">
      <c r="A36" s="17" t="n">
        <v>40</v>
      </c>
      <c r="B36" s="26">
        <f>IF(A36="","",SUMPRODUCT(--(_xlfn.POISSON.DIST(x_helper!$A$2:$A$5001,A36,TRUE)&lt;(1-$B$10)/2)))</f>
        <v/>
      </c>
      <c r="C36" s="26">
        <f>IF(A36="","",SUMPRODUCT(--(_xlfn.POISSON.DIST(x_helper!$A$2:$A$5001,A36,TRUE)&lt;1-(1-$B$10)/2)))</f>
        <v/>
      </c>
      <c r="D36" s="26">
        <f>IF(A36="","",SUMPRODUCT(--(_xlfn.POISSON.DIST(x_helper!$A$2:$A$5001,A36,TRUE)&lt;(1-$B$11)/2)))</f>
        <v/>
      </c>
      <c r="E36" s="26">
        <f>IF(A36="","",SUMPRODUCT(--(_xlfn.POISSON.DIST(x_helper!$A$2:$A$5001,A36,TRUE)&lt;1-(1-$B$11)/2)))</f>
        <v/>
      </c>
    </row>
    <row r="37">
      <c r="A37" s="17" t="n">
        <v>50</v>
      </c>
      <c r="B37" s="26">
        <f>IF(A37="","",SUMPRODUCT(--(_xlfn.POISSON.DIST(x_helper!$A$2:$A$5001,A37,TRUE)&lt;(1-$B$10)/2)))</f>
        <v/>
      </c>
      <c r="C37" s="26">
        <f>IF(A37="","",SUMPRODUCT(--(_xlfn.POISSON.DIST(x_helper!$A$2:$A$5001,A37,TRUE)&lt;1-(1-$B$10)/2)))</f>
        <v/>
      </c>
      <c r="D37" s="26">
        <f>IF(A37="","",SUMPRODUCT(--(_xlfn.POISSON.DIST(x_helper!$A$2:$A$5001,A37,TRUE)&lt;(1-$B$11)/2)))</f>
        <v/>
      </c>
      <c r="E37" s="26">
        <f>IF(A37="","",SUMPRODUCT(--(_xlfn.POISSON.DIST(x_helper!$A$2:$A$5001,A37,TRUE)&lt;1-(1-$B$11)/2)))</f>
        <v/>
      </c>
    </row>
    <row r="38">
      <c r="A38" s="17" t="n">
        <v>60</v>
      </c>
      <c r="B38" s="26">
        <f>IF(A38="","",SUMPRODUCT(--(_xlfn.POISSON.DIST(x_helper!$A$2:$A$5001,A38,TRUE)&lt;(1-$B$10)/2)))</f>
        <v/>
      </c>
      <c r="C38" s="26">
        <f>IF(A38="","",SUMPRODUCT(--(_xlfn.POISSON.DIST(x_helper!$A$2:$A$5001,A38,TRUE)&lt;1-(1-$B$10)/2)))</f>
        <v/>
      </c>
      <c r="D38" s="26">
        <f>IF(A38="","",SUMPRODUCT(--(_xlfn.POISSON.DIST(x_helper!$A$2:$A$5001,A38,TRUE)&lt;(1-$B$11)/2)))</f>
        <v/>
      </c>
      <c r="E38" s="26">
        <f>IF(A38="","",SUMPRODUCT(--(_xlfn.POISSON.DIST(x_helper!$A$2:$A$5001,A38,TRUE)&lt;1-(1-$B$11)/2)))</f>
        <v/>
      </c>
    </row>
    <row r="39">
      <c r="A39" s="17" t="n">
        <v>80</v>
      </c>
      <c r="B39" s="26">
        <f>IF(A39="","",SUMPRODUCT(--(_xlfn.POISSON.DIST(x_helper!$A$2:$A$5001,A39,TRUE)&lt;(1-$B$10)/2)))</f>
        <v/>
      </c>
      <c r="C39" s="26">
        <f>IF(A39="","",SUMPRODUCT(--(_xlfn.POISSON.DIST(x_helper!$A$2:$A$5001,A39,TRUE)&lt;1-(1-$B$10)/2)))</f>
        <v/>
      </c>
      <c r="D39" s="26">
        <f>IF(A39="","",SUMPRODUCT(--(_xlfn.POISSON.DIST(x_helper!$A$2:$A$5001,A39,TRUE)&lt;(1-$B$11)/2)))</f>
        <v/>
      </c>
      <c r="E39" s="26">
        <f>IF(A39="","",SUMPRODUCT(--(_xlfn.POISSON.DIST(x_helper!$A$2:$A$5001,A39,TRUE)&lt;1-(1-$B$11)/2)))</f>
        <v/>
      </c>
    </row>
    <row r="40">
      <c r="A40" s="17" t="n">
        <v>100</v>
      </c>
      <c r="B40" s="26">
        <f>IF(A40="","",SUMPRODUCT(--(_xlfn.POISSON.DIST(x_helper!$A$2:$A$5001,A40,TRUE)&lt;(1-$B$10)/2)))</f>
        <v/>
      </c>
      <c r="C40" s="26">
        <f>IF(A40="","",SUMPRODUCT(--(_xlfn.POISSON.DIST(x_helper!$A$2:$A$5001,A40,TRUE)&lt;1-(1-$B$10)/2)))</f>
        <v/>
      </c>
      <c r="D40" s="26">
        <f>IF(A40="","",SUMPRODUCT(--(_xlfn.POISSON.DIST(x_helper!$A$2:$A$5001,A40,TRUE)&lt;(1-$B$11)/2)))</f>
        <v/>
      </c>
      <c r="E40" s="26">
        <f>IF(A40="","",SUMPRODUCT(--(_xlfn.POISSON.DIST(x_helper!$A$2:$A$5001,A40,TRUE)&lt;1-(1-$B$11)/2)))</f>
        <v/>
      </c>
    </row>
    <row r="41">
      <c r="A41" s="17" t="n">
        <v>150</v>
      </c>
      <c r="B41" s="26">
        <f>IF(A41="","",SUMPRODUCT(--(_xlfn.POISSON.DIST(x_helper!$A$2:$A$5001,A41,TRUE)&lt;(1-$B$10)/2)))</f>
        <v/>
      </c>
      <c r="C41" s="26">
        <f>IF(A41="","",SUMPRODUCT(--(_xlfn.POISSON.DIST(x_helper!$A$2:$A$5001,A41,TRUE)&lt;1-(1-$B$10)/2)))</f>
        <v/>
      </c>
      <c r="D41" s="26">
        <f>IF(A41="","",SUMPRODUCT(--(_xlfn.POISSON.DIST(x_helper!$A$2:$A$5001,A41,TRUE)&lt;(1-$B$11)/2)))</f>
        <v/>
      </c>
      <c r="E41" s="26">
        <f>IF(A41="","",SUMPRODUCT(--(_xlfn.POISSON.DIST(x_helper!$A$2:$A$5001,A41,TRUE)&lt;1-(1-$B$11)/2)))</f>
        <v/>
      </c>
    </row>
    <row r="42">
      <c r="A42" s="17" t="n">
        <v>200</v>
      </c>
      <c r="B42" s="26">
        <f>IF(A42="","",SUMPRODUCT(--(_xlfn.POISSON.DIST(x_helper!$A$2:$A$5001,A42,TRUE)&lt;(1-$B$10)/2)))</f>
        <v/>
      </c>
      <c r="C42" s="26">
        <f>IF(A42="","",SUMPRODUCT(--(_xlfn.POISSON.DIST(x_helper!$A$2:$A$5001,A42,TRUE)&lt;1-(1-$B$10)/2)))</f>
        <v/>
      </c>
      <c r="D42" s="26">
        <f>IF(A42="","",SUMPRODUCT(--(_xlfn.POISSON.DIST(x_helper!$A$2:$A$5001,A42,TRUE)&lt;(1-$B$11)/2)))</f>
        <v/>
      </c>
      <c r="E42" s="26">
        <f>IF(A42="","",SUMPRODUCT(--(_xlfn.POISSON.DIST(x_helper!$A$2:$A$5001,A42,TRUE)&lt;1-(1-$B$11)/2)))</f>
        <v/>
      </c>
    </row>
    <row r="43">
      <c r="A43" s="27">
        <f>IF($B$8="",NA(),$B$8)</f>
        <v/>
      </c>
      <c r="F43" s="28">
        <f>IF(OR($B$7="",$B$8=""),NA(),$B$7)</f>
        <v/>
      </c>
      <c r="G43" s="29" t="inlineStr">
        <is>
          <t>← plotted point (shows the N/A error value while inputs are blank; intentional)</t>
        </is>
      </c>
    </row>
    <row r="45">
      <c r="A45" s="12" t="inlineStr">
        <is>
          <t>INTERPRETATION PROMPTS — answer in words before the result is filed</t>
        </is>
      </c>
    </row>
    <row r="46" ht="32" customHeight="1">
      <c r="A46" s="8" t="inlineStr">
        <is>
          <t>What case-mix variables does E adjust for, and what is left unadjusted?</t>
        </is>
      </c>
      <c r="B46" s="23" t="n"/>
      <c r="C46" s="9" t="n"/>
      <c r="D46" s="9" t="n"/>
      <c r="E46" s="9" t="n"/>
      <c r="F46" s="10" t="n"/>
    </row>
    <row r="47" ht="32" customHeight="1">
      <c r="A47" s="8" t="inlineStr">
        <is>
          <t>What can the O/E not show (cause, sizes, lots)?</t>
        </is>
      </c>
      <c r="B47" s="23" t="n"/>
      <c r="C47" s="9" t="n"/>
      <c r="D47" s="9" t="n"/>
      <c r="E47" s="9" t="n"/>
      <c r="F47" s="10" t="n"/>
    </row>
    <row r="48" ht="32" customHeight="1">
      <c r="A48" s="8" t="inlineStr">
        <is>
          <t>What do the revision reasons and strata show?</t>
        </is>
      </c>
      <c r="B48" s="23" t="n"/>
      <c r="C48" s="9" t="n"/>
      <c r="D48" s="9" t="n"/>
      <c r="E48" s="9" t="n"/>
      <c r="F48" s="10" t="n"/>
    </row>
    <row r="49" ht="32" customHeight="1">
      <c r="A49" s="8" t="inlineStr">
        <is>
          <t>What does it point to, and what is the next step?</t>
        </is>
      </c>
      <c r="B49" s="23" t="n"/>
      <c r="C49" s="9" t="n"/>
      <c r="D49" s="9" t="n"/>
      <c r="E49" s="9" t="n"/>
      <c r="F49" s="10" t="n"/>
    </row>
    <row r="50" ht="32" customHeight="1">
      <c r="A50" s="8" t="inlineStr">
        <is>
          <t>Reviewer and date</t>
        </is>
      </c>
      <c r="B50" s="23" t="n"/>
      <c r="C50" s="9" t="n"/>
      <c r="D50" s="9" t="n"/>
      <c r="E50" s="9" t="n"/>
      <c r="F50" s="10" t="n"/>
    </row>
  </sheetData>
  <mergeCells count="7">
    <mergeCell ref="B6:F6"/>
    <mergeCell ref="B47:F47"/>
    <mergeCell ref="B48:F48"/>
    <mergeCell ref="B25:E25"/>
    <mergeCell ref="B46:F46"/>
    <mergeCell ref="B50:F50"/>
    <mergeCell ref="B49:F49"/>
  </mergeCells>
  <pageMargins left="0.75" right="0.75" top="1" bottom="1" header="0.5" footer="0.5"/>
  <pageSetup orientation="landscape" paperSize="1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44" customWidth="1" min="3" max="3"/>
    <col width="40" customWidth="1" min="4" max="4"/>
  </cols>
  <sheetData>
    <row r="1">
      <c r="A1" s="1" t="inlineStr">
        <is>
          <t>Summary sheet — one line per statistic, in words</t>
        </is>
      </c>
    </row>
    <row r="2">
      <c r="A2" s="2" t="inlineStr">
        <is>
          <t>Signal Management in Medical Device Vigilance · Selim Medical Press · © 2026 · Tool T-7 · Chapter 9 (Table 9.3)</t>
        </is>
      </c>
    </row>
    <row r="3">
      <c r="A3" s="2" t="inlineStr">
        <is>
          <t>Educational template — adapt to your quality system. Not a regulatory requirement. All example data are fictional.</t>
        </is>
      </c>
    </row>
    <row r="5">
      <c r="A5" s="11" t="inlineStr">
        <is>
          <t>Field</t>
        </is>
      </c>
      <c r="B5" s="11" t="inlineStr">
        <is>
          <t>Glucalyn entry (example)</t>
        </is>
      </c>
      <c r="C5" s="11" t="inlineStr">
        <is>
          <t>Tessora entry (example)</t>
        </is>
      </c>
      <c r="D5" s="11" t="inlineStr">
        <is>
          <t>Your entry</t>
        </is>
      </c>
    </row>
    <row r="6">
      <c r="A6" s="30" t="inlineStr">
        <is>
          <t>Source and data cut</t>
        </is>
      </c>
      <c r="B6" s="30" t="inlineStr">
        <is>
          <t>MAUDE-era extract, one product code, Year 2, month 12</t>
        </is>
      </c>
      <c r="C6" s="30" t="inlineStr">
        <is>
          <t>National registry annual report, Year 6</t>
        </is>
      </c>
      <c r="D6" s="23" t="n"/>
    </row>
    <row r="7">
      <c r="A7" s="30" t="inlineStr">
        <is>
          <t>Statistic and 95% CI</t>
        </is>
      </c>
      <c r="B7" s="30" t="inlineStr">
        <is>
          <t>PRR 5.0 (3.34–7.50); ROR 5.21 (3.42–7.94)</t>
        </is>
      </c>
      <c r="C7" s="30" t="inlineStr">
        <is>
          <t>O/E 1.85 (1.36–2.45)</t>
        </is>
      </c>
      <c r="D7" s="23" t="n"/>
    </row>
    <row r="8">
      <c r="A8" s="30" t="inlineStr">
        <is>
          <t>Threshold and method</t>
        </is>
      </c>
      <c r="B8" s="30" t="inlineStr">
        <is>
          <t>Company rule: PRR ≥ 2, chi-square ≥ 4, n ≥ 3 (met)</t>
        </is>
      </c>
      <c r="C8" s="30" t="inlineStr">
        <is>
          <t>Exact Poisson 99.8% limit 43 at E = 26 (exceeded by 48)</t>
        </is>
      </c>
      <c r="D8" s="23" t="n"/>
    </row>
    <row r="9">
      <c r="A9" s="30" t="inlineStr">
        <is>
          <t>Known biases</t>
        </is>
      </c>
      <c r="B9" s="30" t="inlineStr">
        <is>
          <t>No denominator; version rarely stated; reporting stimulated by own FSCA</t>
        </is>
      </c>
      <c r="C9" s="30" t="inlineStr">
        <is>
          <t>Case-mix adjustment limited to registry variables; center effects unchecked</t>
        </is>
      </c>
      <c r="D9" s="23" t="n"/>
    </row>
    <row r="10">
      <c r="A10" s="30" t="inlineStr">
        <is>
          <t>What it points to, next step</t>
        </is>
      </c>
      <c r="B10" s="30" t="inlineStr">
        <is>
          <t>Brand-level excess; rely on version-level rates and bench work</t>
        </is>
      </c>
      <c r="C10" s="30" t="inlineStr">
        <is>
          <t>Liner dissociation, size 52–54, post-change period; frame assessment question</t>
        </is>
      </c>
      <c r="D10" s="23" t="n"/>
    </row>
    <row r="12">
      <c r="A12" s="2" t="inlineStr">
        <is>
          <t>Table 9.3 of the book, filled for the two fictional cases (illustrative). The last row is the one reviewers read first; if it cannot be completed in plain words, the statistic is not ready to go into a signal record.</t>
        </is>
      </c>
    </row>
    <row r="14">
      <c r="A14" s="3" t="inlineStr">
        <is>
          <t>What each method can and cannot support (Table 9.2)</t>
        </is>
      </c>
    </row>
    <row r="15">
      <c r="A15" s="11" t="inlineStr">
        <is>
          <t>Method</t>
        </is>
      </c>
      <c r="B15" s="11" t="inlineStr">
        <is>
          <t>Can support</t>
        </is>
      </c>
      <c r="C15" s="11" t="inlineStr">
        <is>
          <t>Cannot support</t>
        </is>
      </c>
    </row>
    <row r="16">
      <c r="A16" s="30" t="inlineStr">
        <is>
          <t>PRR and ROR in AEMS</t>
        </is>
      </c>
      <c r="B16" s="30" t="inlineStr">
        <is>
          <t>"This event is overrepresented in this device's reports"</t>
        </is>
      </c>
      <c r="C16" s="30" t="inlineStr">
        <is>
          <t>An event rate, a risk estimate, or a cross-brand safety ranking</t>
        </is>
      </c>
    </row>
    <row r="17">
      <c r="A17" s="30" t="inlineStr">
        <is>
          <t>Bayesian shrinkage (IC, EBGM)</t>
        </is>
      </c>
      <c r="B17" s="30" t="inlineStr">
        <is>
          <t>Damping of ratios built on few reports</t>
        </is>
      </c>
      <c r="C17" s="30" t="inlineStr">
        <is>
          <t>Correction of stimulated, summary or coding bias</t>
        </is>
      </c>
    </row>
    <row r="18">
      <c r="A18" s="30" t="inlineStr">
        <is>
          <t>Registry O/E with exact CI</t>
        </is>
      </c>
      <c r="B18" s="30" t="inlineStr">
        <is>
          <t>"More revisions than case mix predicts"</t>
        </is>
      </c>
      <c r="C18" s="30" t="inlineStr">
        <is>
          <t>The cause of the excess, or which sizes and lots drive it</t>
        </is>
      </c>
    </row>
    <row r="19">
      <c r="A19" s="30" t="inlineStr">
        <is>
          <t>Funnel plot, 95% and 99.8% limits</t>
        </is>
      </c>
      <c r="B19" s="30" t="inlineStr">
        <is>
          <t>Placing one implant among its peers</t>
        </is>
      </c>
      <c r="C19" s="30" t="inlineStr">
        <is>
          <t>A verdict on surgeon or center effects</t>
        </is>
      </c>
    </row>
    <row r="20">
      <c r="A20" s="30" t="inlineStr">
        <is>
          <t>Kaplan–Meier cumulative revision</t>
        </is>
      </c>
      <c r="B20" s="30" t="inlineStr">
        <is>
          <t>Revision probability over time, with censoring</t>
        </is>
      </c>
      <c r="C20" s="30" t="inlineStr">
        <is>
          <t>Unbiased long-term figures where death is common</t>
        </is>
      </c>
    </row>
  </sheetData>
  <pageMargins left="0.75" right="0.75" top="1" bottom="1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(0–4999): helper values for exact Poisson funnel limits. Do not edit.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  <row r="1442">
      <c r="A1442" t="n">
        <v>1440</v>
      </c>
    </row>
    <row r="1443">
      <c r="A1443" t="n">
        <v>1441</v>
      </c>
    </row>
    <row r="1444">
      <c r="A1444" t="n">
        <v>1442</v>
      </c>
    </row>
    <row r="1445">
      <c r="A1445" t="n">
        <v>1443</v>
      </c>
    </row>
    <row r="1446">
      <c r="A1446" t="n">
        <v>1444</v>
      </c>
    </row>
    <row r="1447">
      <c r="A1447" t="n">
        <v>1445</v>
      </c>
    </row>
    <row r="1448">
      <c r="A1448" t="n">
        <v>1446</v>
      </c>
    </row>
    <row r="1449">
      <c r="A1449" t="n">
        <v>1447</v>
      </c>
    </row>
    <row r="1450">
      <c r="A1450" t="n">
        <v>1448</v>
      </c>
    </row>
    <row r="1451">
      <c r="A1451" t="n">
        <v>1449</v>
      </c>
    </row>
    <row r="1452">
      <c r="A1452" t="n">
        <v>1450</v>
      </c>
    </row>
    <row r="1453">
      <c r="A1453" t="n">
        <v>1451</v>
      </c>
    </row>
    <row r="1454">
      <c r="A1454" t="n">
        <v>1452</v>
      </c>
    </row>
    <row r="1455">
      <c r="A1455" t="n">
        <v>1453</v>
      </c>
    </row>
    <row r="1456">
      <c r="A1456" t="n">
        <v>1454</v>
      </c>
    </row>
    <row r="1457">
      <c r="A1457" t="n">
        <v>1455</v>
      </c>
    </row>
    <row r="1458">
      <c r="A1458" t="n">
        <v>1456</v>
      </c>
    </row>
    <row r="1459">
      <c r="A1459" t="n">
        <v>1457</v>
      </c>
    </row>
    <row r="1460">
      <c r="A1460" t="n">
        <v>1458</v>
      </c>
    </row>
    <row r="1461">
      <c r="A1461" t="n">
        <v>1459</v>
      </c>
    </row>
    <row r="1462">
      <c r="A1462" t="n">
        <v>1460</v>
      </c>
    </row>
    <row r="1463">
      <c r="A1463" t="n">
        <v>1461</v>
      </c>
    </row>
    <row r="1464">
      <c r="A1464" t="n">
        <v>1462</v>
      </c>
    </row>
    <row r="1465">
      <c r="A1465" t="n">
        <v>1463</v>
      </c>
    </row>
    <row r="1466">
      <c r="A1466" t="n">
        <v>1464</v>
      </c>
    </row>
    <row r="1467">
      <c r="A1467" t="n">
        <v>1465</v>
      </c>
    </row>
    <row r="1468">
      <c r="A1468" t="n">
        <v>1466</v>
      </c>
    </row>
    <row r="1469">
      <c r="A1469" t="n">
        <v>1467</v>
      </c>
    </row>
    <row r="1470">
      <c r="A1470" t="n">
        <v>1468</v>
      </c>
    </row>
    <row r="1471">
      <c r="A1471" t="n">
        <v>1469</v>
      </c>
    </row>
    <row r="1472">
      <c r="A1472" t="n">
        <v>1470</v>
      </c>
    </row>
    <row r="1473">
      <c r="A1473" t="n">
        <v>1471</v>
      </c>
    </row>
    <row r="1474">
      <c r="A1474" t="n">
        <v>1472</v>
      </c>
    </row>
    <row r="1475">
      <c r="A1475" t="n">
        <v>1473</v>
      </c>
    </row>
    <row r="1476">
      <c r="A1476" t="n">
        <v>1474</v>
      </c>
    </row>
    <row r="1477">
      <c r="A1477" t="n">
        <v>1475</v>
      </c>
    </row>
    <row r="1478">
      <c r="A1478" t="n">
        <v>1476</v>
      </c>
    </row>
    <row r="1479">
      <c r="A1479" t="n">
        <v>1477</v>
      </c>
    </row>
    <row r="1480">
      <c r="A1480" t="n">
        <v>1478</v>
      </c>
    </row>
    <row r="1481">
      <c r="A1481" t="n">
        <v>1479</v>
      </c>
    </row>
    <row r="1482">
      <c r="A1482" t="n">
        <v>1480</v>
      </c>
    </row>
    <row r="1483">
      <c r="A1483" t="n">
        <v>1481</v>
      </c>
    </row>
    <row r="1484">
      <c r="A1484" t="n">
        <v>1482</v>
      </c>
    </row>
    <row r="1485">
      <c r="A1485" t="n">
        <v>1483</v>
      </c>
    </row>
    <row r="1486">
      <c r="A1486" t="n">
        <v>1484</v>
      </c>
    </row>
    <row r="1487">
      <c r="A1487" t="n">
        <v>1485</v>
      </c>
    </row>
    <row r="1488">
      <c r="A1488" t="n">
        <v>1486</v>
      </c>
    </row>
    <row r="1489">
      <c r="A1489" t="n">
        <v>1487</v>
      </c>
    </row>
    <row r="1490">
      <c r="A1490" t="n">
        <v>1488</v>
      </c>
    </row>
    <row r="1491">
      <c r="A1491" t="n">
        <v>1489</v>
      </c>
    </row>
    <row r="1492">
      <c r="A1492" t="n">
        <v>1490</v>
      </c>
    </row>
    <row r="1493">
      <c r="A1493" t="n">
        <v>1491</v>
      </c>
    </row>
    <row r="1494">
      <c r="A1494" t="n">
        <v>1492</v>
      </c>
    </row>
    <row r="1495">
      <c r="A1495" t="n">
        <v>1493</v>
      </c>
    </row>
    <row r="1496">
      <c r="A1496" t="n">
        <v>1494</v>
      </c>
    </row>
    <row r="1497">
      <c r="A1497" t="n">
        <v>1495</v>
      </c>
    </row>
    <row r="1498">
      <c r="A1498" t="n">
        <v>1496</v>
      </c>
    </row>
    <row r="1499">
      <c r="A1499" t="n">
        <v>1497</v>
      </c>
    </row>
    <row r="1500">
      <c r="A1500" t="n">
        <v>1498</v>
      </c>
    </row>
    <row r="1501">
      <c r="A1501" t="n">
        <v>1499</v>
      </c>
    </row>
    <row r="1502">
      <c r="A1502" t="n">
        <v>1500</v>
      </c>
    </row>
    <row r="1503">
      <c r="A1503" t="n">
        <v>1501</v>
      </c>
    </row>
    <row r="1504">
      <c r="A1504" t="n">
        <v>1502</v>
      </c>
    </row>
    <row r="1505">
      <c r="A1505" t="n">
        <v>1503</v>
      </c>
    </row>
    <row r="1506">
      <c r="A1506" t="n">
        <v>1504</v>
      </c>
    </row>
    <row r="1507">
      <c r="A1507" t="n">
        <v>1505</v>
      </c>
    </row>
    <row r="1508">
      <c r="A1508" t="n">
        <v>1506</v>
      </c>
    </row>
    <row r="1509">
      <c r="A1509" t="n">
        <v>1507</v>
      </c>
    </row>
    <row r="1510">
      <c r="A1510" t="n">
        <v>1508</v>
      </c>
    </row>
    <row r="1511">
      <c r="A1511" t="n">
        <v>1509</v>
      </c>
    </row>
    <row r="1512">
      <c r="A1512" t="n">
        <v>1510</v>
      </c>
    </row>
    <row r="1513">
      <c r="A1513" t="n">
        <v>1511</v>
      </c>
    </row>
    <row r="1514">
      <c r="A1514" t="n">
        <v>1512</v>
      </c>
    </row>
    <row r="1515">
      <c r="A1515" t="n">
        <v>1513</v>
      </c>
    </row>
    <row r="1516">
      <c r="A1516" t="n">
        <v>1514</v>
      </c>
    </row>
    <row r="1517">
      <c r="A1517" t="n">
        <v>1515</v>
      </c>
    </row>
    <row r="1518">
      <c r="A1518" t="n">
        <v>1516</v>
      </c>
    </row>
    <row r="1519">
      <c r="A1519" t="n">
        <v>1517</v>
      </c>
    </row>
    <row r="1520">
      <c r="A1520" t="n">
        <v>1518</v>
      </c>
    </row>
    <row r="1521">
      <c r="A1521" t="n">
        <v>1519</v>
      </c>
    </row>
    <row r="1522">
      <c r="A1522" t="n">
        <v>1520</v>
      </c>
    </row>
    <row r="1523">
      <c r="A1523" t="n">
        <v>1521</v>
      </c>
    </row>
    <row r="1524">
      <c r="A1524" t="n">
        <v>1522</v>
      </c>
    </row>
    <row r="1525">
      <c r="A1525" t="n">
        <v>1523</v>
      </c>
    </row>
    <row r="1526">
      <c r="A1526" t="n">
        <v>1524</v>
      </c>
    </row>
    <row r="1527">
      <c r="A1527" t="n">
        <v>1525</v>
      </c>
    </row>
    <row r="1528">
      <c r="A1528" t="n">
        <v>1526</v>
      </c>
    </row>
    <row r="1529">
      <c r="A1529" t="n">
        <v>1527</v>
      </c>
    </row>
    <row r="1530">
      <c r="A1530" t="n">
        <v>1528</v>
      </c>
    </row>
    <row r="1531">
      <c r="A1531" t="n">
        <v>1529</v>
      </c>
    </row>
    <row r="1532">
      <c r="A1532" t="n">
        <v>1530</v>
      </c>
    </row>
    <row r="1533">
      <c r="A1533" t="n">
        <v>1531</v>
      </c>
    </row>
    <row r="1534">
      <c r="A1534" t="n">
        <v>1532</v>
      </c>
    </row>
    <row r="1535">
      <c r="A1535" t="n">
        <v>1533</v>
      </c>
    </row>
    <row r="1536">
      <c r="A1536" t="n">
        <v>1534</v>
      </c>
    </row>
    <row r="1537">
      <c r="A1537" t="n">
        <v>1535</v>
      </c>
    </row>
    <row r="1538">
      <c r="A1538" t="n">
        <v>1536</v>
      </c>
    </row>
    <row r="1539">
      <c r="A1539" t="n">
        <v>1537</v>
      </c>
    </row>
    <row r="1540">
      <c r="A1540" t="n">
        <v>1538</v>
      </c>
    </row>
    <row r="1541">
      <c r="A1541" t="n">
        <v>1539</v>
      </c>
    </row>
    <row r="1542">
      <c r="A1542" t="n">
        <v>1540</v>
      </c>
    </row>
    <row r="1543">
      <c r="A1543" t="n">
        <v>1541</v>
      </c>
    </row>
    <row r="1544">
      <c r="A1544" t="n">
        <v>1542</v>
      </c>
    </row>
    <row r="1545">
      <c r="A1545" t="n">
        <v>1543</v>
      </c>
    </row>
    <row r="1546">
      <c r="A1546" t="n">
        <v>1544</v>
      </c>
    </row>
    <row r="1547">
      <c r="A1547" t="n">
        <v>1545</v>
      </c>
    </row>
    <row r="1548">
      <c r="A1548" t="n">
        <v>1546</v>
      </c>
    </row>
    <row r="1549">
      <c r="A1549" t="n">
        <v>1547</v>
      </c>
    </row>
    <row r="1550">
      <c r="A1550" t="n">
        <v>1548</v>
      </c>
    </row>
    <row r="1551">
      <c r="A1551" t="n">
        <v>1549</v>
      </c>
    </row>
    <row r="1552">
      <c r="A1552" t="n">
        <v>1550</v>
      </c>
    </row>
    <row r="1553">
      <c r="A1553" t="n">
        <v>1551</v>
      </c>
    </row>
    <row r="1554">
      <c r="A1554" t="n">
        <v>1552</v>
      </c>
    </row>
    <row r="1555">
      <c r="A1555" t="n">
        <v>1553</v>
      </c>
    </row>
    <row r="1556">
      <c r="A1556" t="n">
        <v>1554</v>
      </c>
    </row>
    <row r="1557">
      <c r="A1557" t="n">
        <v>1555</v>
      </c>
    </row>
    <row r="1558">
      <c r="A1558" t="n">
        <v>1556</v>
      </c>
    </row>
    <row r="1559">
      <c r="A1559" t="n">
        <v>1557</v>
      </c>
    </row>
    <row r="1560">
      <c r="A1560" t="n">
        <v>1558</v>
      </c>
    </row>
    <row r="1561">
      <c r="A1561" t="n">
        <v>1559</v>
      </c>
    </row>
    <row r="1562">
      <c r="A1562" t="n">
        <v>1560</v>
      </c>
    </row>
    <row r="1563">
      <c r="A1563" t="n">
        <v>1561</v>
      </c>
    </row>
    <row r="1564">
      <c r="A1564" t="n">
        <v>1562</v>
      </c>
    </row>
    <row r="1565">
      <c r="A1565" t="n">
        <v>1563</v>
      </c>
    </row>
    <row r="1566">
      <c r="A1566" t="n">
        <v>1564</v>
      </c>
    </row>
    <row r="1567">
      <c r="A1567" t="n">
        <v>1565</v>
      </c>
    </row>
    <row r="1568">
      <c r="A1568" t="n">
        <v>1566</v>
      </c>
    </row>
    <row r="1569">
      <c r="A1569" t="n">
        <v>1567</v>
      </c>
    </row>
    <row r="1570">
      <c r="A1570" t="n">
        <v>1568</v>
      </c>
    </row>
    <row r="1571">
      <c r="A1571" t="n">
        <v>1569</v>
      </c>
    </row>
    <row r="1572">
      <c r="A1572" t="n">
        <v>1570</v>
      </c>
    </row>
    <row r="1573">
      <c r="A1573" t="n">
        <v>1571</v>
      </c>
    </row>
    <row r="1574">
      <c r="A1574" t="n">
        <v>1572</v>
      </c>
    </row>
    <row r="1575">
      <c r="A1575" t="n">
        <v>1573</v>
      </c>
    </row>
    <row r="1576">
      <c r="A1576" t="n">
        <v>1574</v>
      </c>
    </row>
    <row r="1577">
      <c r="A1577" t="n">
        <v>1575</v>
      </c>
    </row>
    <row r="1578">
      <c r="A1578" t="n">
        <v>1576</v>
      </c>
    </row>
    <row r="1579">
      <c r="A1579" t="n">
        <v>1577</v>
      </c>
    </row>
    <row r="1580">
      <c r="A1580" t="n">
        <v>1578</v>
      </c>
    </row>
    <row r="1581">
      <c r="A1581" t="n">
        <v>1579</v>
      </c>
    </row>
    <row r="1582">
      <c r="A1582" t="n">
        <v>1580</v>
      </c>
    </row>
    <row r="1583">
      <c r="A1583" t="n">
        <v>1581</v>
      </c>
    </row>
    <row r="1584">
      <c r="A1584" t="n">
        <v>1582</v>
      </c>
    </row>
    <row r="1585">
      <c r="A1585" t="n">
        <v>1583</v>
      </c>
    </row>
    <row r="1586">
      <c r="A1586" t="n">
        <v>1584</v>
      </c>
    </row>
    <row r="1587">
      <c r="A1587" t="n">
        <v>1585</v>
      </c>
    </row>
    <row r="1588">
      <c r="A1588" t="n">
        <v>1586</v>
      </c>
    </row>
    <row r="1589">
      <c r="A1589" t="n">
        <v>1587</v>
      </c>
    </row>
    <row r="1590">
      <c r="A1590" t="n">
        <v>1588</v>
      </c>
    </row>
    <row r="1591">
      <c r="A1591" t="n">
        <v>1589</v>
      </c>
    </row>
    <row r="1592">
      <c r="A1592" t="n">
        <v>1590</v>
      </c>
    </row>
    <row r="1593">
      <c r="A1593" t="n">
        <v>1591</v>
      </c>
    </row>
    <row r="1594">
      <c r="A1594" t="n">
        <v>1592</v>
      </c>
    </row>
    <row r="1595">
      <c r="A1595" t="n">
        <v>1593</v>
      </c>
    </row>
    <row r="1596">
      <c r="A1596" t="n">
        <v>1594</v>
      </c>
    </row>
    <row r="1597">
      <c r="A1597" t="n">
        <v>1595</v>
      </c>
    </row>
    <row r="1598">
      <c r="A1598" t="n">
        <v>1596</v>
      </c>
    </row>
    <row r="1599">
      <c r="A1599" t="n">
        <v>1597</v>
      </c>
    </row>
    <row r="1600">
      <c r="A1600" t="n">
        <v>1598</v>
      </c>
    </row>
    <row r="1601">
      <c r="A1601" t="n">
        <v>1599</v>
      </c>
    </row>
    <row r="1602">
      <c r="A1602" t="n">
        <v>1600</v>
      </c>
    </row>
    <row r="1603">
      <c r="A1603" t="n">
        <v>1601</v>
      </c>
    </row>
    <row r="1604">
      <c r="A1604" t="n">
        <v>1602</v>
      </c>
    </row>
    <row r="1605">
      <c r="A1605" t="n">
        <v>1603</v>
      </c>
    </row>
    <row r="1606">
      <c r="A1606" t="n">
        <v>1604</v>
      </c>
    </row>
    <row r="1607">
      <c r="A1607" t="n">
        <v>1605</v>
      </c>
    </row>
    <row r="1608">
      <c r="A1608" t="n">
        <v>1606</v>
      </c>
    </row>
    <row r="1609">
      <c r="A1609" t="n">
        <v>1607</v>
      </c>
    </row>
    <row r="1610">
      <c r="A1610" t="n">
        <v>1608</v>
      </c>
    </row>
    <row r="1611">
      <c r="A1611" t="n">
        <v>1609</v>
      </c>
    </row>
    <row r="1612">
      <c r="A1612" t="n">
        <v>1610</v>
      </c>
    </row>
    <row r="1613">
      <c r="A1613" t="n">
        <v>1611</v>
      </c>
    </row>
    <row r="1614">
      <c r="A1614" t="n">
        <v>1612</v>
      </c>
    </row>
    <row r="1615">
      <c r="A1615" t="n">
        <v>1613</v>
      </c>
    </row>
    <row r="1616">
      <c r="A1616" t="n">
        <v>1614</v>
      </c>
    </row>
    <row r="1617">
      <c r="A1617" t="n">
        <v>1615</v>
      </c>
    </row>
    <row r="1618">
      <c r="A1618" t="n">
        <v>1616</v>
      </c>
    </row>
    <row r="1619">
      <c r="A1619" t="n">
        <v>1617</v>
      </c>
    </row>
    <row r="1620">
      <c r="A1620" t="n">
        <v>1618</v>
      </c>
    </row>
    <row r="1621">
      <c r="A1621" t="n">
        <v>1619</v>
      </c>
    </row>
    <row r="1622">
      <c r="A1622" t="n">
        <v>1620</v>
      </c>
    </row>
    <row r="1623">
      <c r="A1623" t="n">
        <v>1621</v>
      </c>
    </row>
    <row r="1624">
      <c r="A1624" t="n">
        <v>1622</v>
      </c>
    </row>
    <row r="1625">
      <c r="A1625" t="n">
        <v>1623</v>
      </c>
    </row>
    <row r="1626">
      <c r="A1626" t="n">
        <v>1624</v>
      </c>
    </row>
    <row r="1627">
      <c r="A1627" t="n">
        <v>1625</v>
      </c>
    </row>
    <row r="1628">
      <c r="A1628" t="n">
        <v>1626</v>
      </c>
    </row>
    <row r="1629">
      <c r="A1629" t="n">
        <v>1627</v>
      </c>
    </row>
    <row r="1630">
      <c r="A1630" t="n">
        <v>1628</v>
      </c>
    </row>
    <row r="1631">
      <c r="A1631" t="n">
        <v>1629</v>
      </c>
    </row>
    <row r="1632">
      <c r="A1632" t="n">
        <v>1630</v>
      </c>
    </row>
    <row r="1633">
      <c r="A1633" t="n">
        <v>1631</v>
      </c>
    </row>
    <row r="1634">
      <c r="A1634" t="n">
        <v>1632</v>
      </c>
    </row>
    <row r="1635">
      <c r="A1635" t="n">
        <v>1633</v>
      </c>
    </row>
    <row r="1636">
      <c r="A1636" t="n">
        <v>1634</v>
      </c>
    </row>
    <row r="1637">
      <c r="A1637" t="n">
        <v>1635</v>
      </c>
    </row>
    <row r="1638">
      <c r="A1638" t="n">
        <v>1636</v>
      </c>
    </row>
    <row r="1639">
      <c r="A1639" t="n">
        <v>1637</v>
      </c>
    </row>
    <row r="1640">
      <c r="A1640" t="n">
        <v>1638</v>
      </c>
    </row>
    <row r="1641">
      <c r="A1641" t="n">
        <v>1639</v>
      </c>
    </row>
    <row r="1642">
      <c r="A1642" t="n">
        <v>1640</v>
      </c>
    </row>
    <row r="1643">
      <c r="A1643" t="n">
        <v>1641</v>
      </c>
    </row>
    <row r="1644">
      <c r="A1644" t="n">
        <v>1642</v>
      </c>
    </row>
    <row r="1645">
      <c r="A1645" t="n">
        <v>1643</v>
      </c>
    </row>
    <row r="1646">
      <c r="A1646" t="n">
        <v>1644</v>
      </c>
    </row>
    <row r="1647">
      <c r="A1647" t="n">
        <v>1645</v>
      </c>
    </row>
    <row r="1648">
      <c r="A1648" t="n">
        <v>1646</v>
      </c>
    </row>
    <row r="1649">
      <c r="A1649" t="n">
        <v>1647</v>
      </c>
    </row>
    <row r="1650">
      <c r="A1650" t="n">
        <v>1648</v>
      </c>
    </row>
    <row r="1651">
      <c r="A1651" t="n">
        <v>1649</v>
      </c>
    </row>
    <row r="1652">
      <c r="A1652" t="n">
        <v>1650</v>
      </c>
    </row>
    <row r="1653">
      <c r="A1653" t="n">
        <v>1651</v>
      </c>
    </row>
    <row r="1654">
      <c r="A1654" t="n">
        <v>1652</v>
      </c>
    </row>
    <row r="1655">
      <c r="A1655" t="n">
        <v>1653</v>
      </c>
    </row>
    <row r="1656">
      <c r="A1656" t="n">
        <v>1654</v>
      </c>
    </row>
    <row r="1657">
      <c r="A1657" t="n">
        <v>1655</v>
      </c>
    </row>
    <row r="1658">
      <c r="A1658" t="n">
        <v>1656</v>
      </c>
    </row>
    <row r="1659">
      <c r="A1659" t="n">
        <v>1657</v>
      </c>
    </row>
    <row r="1660">
      <c r="A1660" t="n">
        <v>1658</v>
      </c>
    </row>
    <row r="1661">
      <c r="A1661" t="n">
        <v>1659</v>
      </c>
    </row>
    <row r="1662">
      <c r="A1662" t="n">
        <v>1660</v>
      </c>
    </row>
    <row r="1663">
      <c r="A1663" t="n">
        <v>1661</v>
      </c>
    </row>
    <row r="1664">
      <c r="A1664" t="n">
        <v>1662</v>
      </c>
    </row>
    <row r="1665">
      <c r="A1665" t="n">
        <v>1663</v>
      </c>
    </row>
    <row r="1666">
      <c r="A1666" t="n">
        <v>1664</v>
      </c>
    </row>
    <row r="1667">
      <c r="A1667" t="n">
        <v>1665</v>
      </c>
    </row>
    <row r="1668">
      <c r="A1668" t="n">
        <v>1666</v>
      </c>
    </row>
    <row r="1669">
      <c r="A1669" t="n">
        <v>1667</v>
      </c>
    </row>
    <row r="1670">
      <c r="A1670" t="n">
        <v>1668</v>
      </c>
    </row>
    <row r="1671">
      <c r="A1671" t="n">
        <v>1669</v>
      </c>
    </row>
    <row r="1672">
      <c r="A1672" t="n">
        <v>1670</v>
      </c>
    </row>
    <row r="1673">
      <c r="A1673" t="n">
        <v>1671</v>
      </c>
    </row>
    <row r="1674">
      <c r="A1674" t="n">
        <v>1672</v>
      </c>
    </row>
    <row r="1675">
      <c r="A1675" t="n">
        <v>1673</v>
      </c>
    </row>
    <row r="1676">
      <c r="A1676" t="n">
        <v>1674</v>
      </c>
    </row>
    <row r="1677">
      <c r="A1677" t="n">
        <v>1675</v>
      </c>
    </row>
    <row r="1678">
      <c r="A1678" t="n">
        <v>1676</v>
      </c>
    </row>
    <row r="1679">
      <c r="A1679" t="n">
        <v>1677</v>
      </c>
    </row>
    <row r="1680">
      <c r="A1680" t="n">
        <v>1678</v>
      </c>
    </row>
    <row r="1681">
      <c r="A1681" t="n">
        <v>1679</v>
      </c>
    </row>
    <row r="1682">
      <c r="A1682" t="n">
        <v>1680</v>
      </c>
    </row>
    <row r="1683">
      <c r="A1683" t="n">
        <v>1681</v>
      </c>
    </row>
    <row r="1684">
      <c r="A1684" t="n">
        <v>1682</v>
      </c>
    </row>
    <row r="1685">
      <c r="A1685" t="n">
        <v>1683</v>
      </c>
    </row>
    <row r="1686">
      <c r="A1686" t="n">
        <v>1684</v>
      </c>
    </row>
    <row r="1687">
      <c r="A1687" t="n">
        <v>1685</v>
      </c>
    </row>
    <row r="1688">
      <c r="A1688" t="n">
        <v>1686</v>
      </c>
    </row>
    <row r="1689">
      <c r="A1689" t="n">
        <v>1687</v>
      </c>
    </row>
    <row r="1690">
      <c r="A1690" t="n">
        <v>1688</v>
      </c>
    </row>
    <row r="1691">
      <c r="A1691" t="n">
        <v>1689</v>
      </c>
    </row>
    <row r="1692">
      <c r="A1692" t="n">
        <v>1690</v>
      </c>
    </row>
    <row r="1693">
      <c r="A1693" t="n">
        <v>1691</v>
      </c>
    </row>
    <row r="1694">
      <c r="A1694" t="n">
        <v>1692</v>
      </c>
    </row>
    <row r="1695">
      <c r="A1695" t="n">
        <v>1693</v>
      </c>
    </row>
    <row r="1696">
      <c r="A1696" t="n">
        <v>1694</v>
      </c>
    </row>
    <row r="1697">
      <c r="A1697" t="n">
        <v>1695</v>
      </c>
    </row>
    <row r="1698">
      <c r="A1698" t="n">
        <v>1696</v>
      </c>
    </row>
    <row r="1699">
      <c r="A1699" t="n">
        <v>1697</v>
      </c>
    </row>
    <row r="1700">
      <c r="A1700" t="n">
        <v>1698</v>
      </c>
    </row>
    <row r="1701">
      <c r="A1701" t="n">
        <v>1699</v>
      </c>
    </row>
    <row r="1702">
      <c r="A1702" t="n">
        <v>1700</v>
      </c>
    </row>
    <row r="1703">
      <c r="A1703" t="n">
        <v>1701</v>
      </c>
    </row>
    <row r="1704">
      <c r="A1704" t="n">
        <v>1702</v>
      </c>
    </row>
    <row r="1705">
      <c r="A1705" t="n">
        <v>1703</v>
      </c>
    </row>
    <row r="1706">
      <c r="A1706" t="n">
        <v>1704</v>
      </c>
    </row>
    <row r="1707">
      <c r="A1707" t="n">
        <v>1705</v>
      </c>
    </row>
    <row r="1708">
      <c r="A1708" t="n">
        <v>1706</v>
      </c>
    </row>
    <row r="1709">
      <c r="A1709" t="n">
        <v>1707</v>
      </c>
    </row>
    <row r="1710">
      <c r="A1710" t="n">
        <v>1708</v>
      </c>
    </row>
    <row r="1711">
      <c r="A1711" t="n">
        <v>1709</v>
      </c>
    </row>
    <row r="1712">
      <c r="A1712" t="n">
        <v>1710</v>
      </c>
    </row>
    <row r="1713">
      <c r="A1713" t="n">
        <v>1711</v>
      </c>
    </row>
    <row r="1714">
      <c r="A1714" t="n">
        <v>1712</v>
      </c>
    </row>
    <row r="1715">
      <c r="A1715" t="n">
        <v>1713</v>
      </c>
    </row>
    <row r="1716">
      <c r="A1716" t="n">
        <v>1714</v>
      </c>
    </row>
    <row r="1717">
      <c r="A1717" t="n">
        <v>1715</v>
      </c>
    </row>
    <row r="1718">
      <c r="A1718" t="n">
        <v>1716</v>
      </c>
    </row>
    <row r="1719">
      <c r="A1719" t="n">
        <v>1717</v>
      </c>
    </row>
    <row r="1720">
      <c r="A1720" t="n">
        <v>1718</v>
      </c>
    </row>
    <row r="1721">
      <c r="A1721" t="n">
        <v>1719</v>
      </c>
    </row>
    <row r="1722">
      <c r="A1722" t="n">
        <v>1720</v>
      </c>
    </row>
    <row r="1723">
      <c r="A1723" t="n">
        <v>1721</v>
      </c>
    </row>
    <row r="1724">
      <c r="A1724" t="n">
        <v>1722</v>
      </c>
    </row>
    <row r="1725">
      <c r="A1725" t="n">
        <v>1723</v>
      </c>
    </row>
    <row r="1726">
      <c r="A1726" t="n">
        <v>1724</v>
      </c>
    </row>
    <row r="1727">
      <c r="A1727" t="n">
        <v>1725</v>
      </c>
    </row>
    <row r="1728">
      <c r="A1728" t="n">
        <v>1726</v>
      </c>
    </row>
    <row r="1729">
      <c r="A1729" t="n">
        <v>1727</v>
      </c>
    </row>
    <row r="1730">
      <c r="A1730" t="n">
        <v>1728</v>
      </c>
    </row>
    <row r="1731">
      <c r="A1731" t="n">
        <v>1729</v>
      </c>
    </row>
    <row r="1732">
      <c r="A1732" t="n">
        <v>1730</v>
      </c>
    </row>
    <row r="1733">
      <c r="A1733" t="n">
        <v>1731</v>
      </c>
    </row>
    <row r="1734">
      <c r="A1734" t="n">
        <v>1732</v>
      </c>
    </row>
    <row r="1735">
      <c r="A1735" t="n">
        <v>1733</v>
      </c>
    </row>
    <row r="1736">
      <c r="A1736" t="n">
        <v>1734</v>
      </c>
    </row>
    <row r="1737">
      <c r="A1737" t="n">
        <v>1735</v>
      </c>
    </row>
    <row r="1738">
      <c r="A1738" t="n">
        <v>1736</v>
      </c>
    </row>
    <row r="1739">
      <c r="A1739" t="n">
        <v>1737</v>
      </c>
    </row>
    <row r="1740">
      <c r="A1740" t="n">
        <v>1738</v>
      </c>
    </row>
    <row r="1741">
      <c r="A1741" t="n">
        <v>1739</v>
      </c>
    </row>
    <row r="1742">
      <c r="A1742" t="n">
        <v>1740</v>
      </c>
    </row>
    <row r="1743">
      <c r="A1743" t="n">
        <v>1741</v>
      </c>
    </row>
    <row r="1744">
      <c r="A1744" t="n">
        <v>1742</v>
      </c>
    </row>
    <row r="1745">
      <c r="A1745" t="n">
        <v>1743</v>
      </c>
    </row>
    <row r="1746">
      <c r="A1746" t="n">
        <v>1744</v>
      </c>
    </row>
    <row r="1747">
      <c r="A1747" t="n">
        <v>1745</v>
      </c>
    </row>
    <row r="1748">
      <c r="A1748" t="n">
        <v>1746</v>
      </c>
    </row>
    <row r="1749">
      <c r="A1749" t="n">
        <v>1747</v>
      </c>
    </row>
    <row r="1750">
      <c r="A1750" t="n">
        <v>1748</v>
      </c>
    </row>
    <row r="1751">
      <c r="A1751" t="n">
        <v>1749</v>
      </c>
    </row>
    <row r="1752">
      <c r="A1752" t="n">
        <v>1750</v>
      </c>
    </row>
    <row r="1753">
      <c r="A1753" t="n">
        <v>1751</v>
      </c>
    </row>
    <row r="1754">
      <c r="A1754" t="n">
        <v>1752</v>
      </c>
    </row>
    <row r="1755">
      <c r="A1755" t="n">
        <v>1753</v>
      </c>
    </row>
    <row r="1756">
      <c r="A1756" t="n">
        <v>1754</v>
      </c>
    </row>
    <row r="1757">
      <c r="A1757" t="n">
        <v>1755</v>
      </c>
    </row>
    <row r="1758">
      <c r="A1758" t="n">
        <v>1756</v>
      </c>
    </row>
    <row r="1759">
      <c r="A1759" t="n">
        <v>1757</v>
      </c>
    </row>
    <row r="1760">
      <c r="A1760" t="n">
        <v>1758</v>
      </c>
    </row>
    <row r="1761">
      <c r="A1761" t="n">
        <v>1759</v>
      </c>
    </row>
    <row r="1762">
      <c r="A1762" t="n">
        <v>1760</v>
      </c>
    </row>
    <row r="1763">
      <c r="A1763" t="n">
        <v>1761</v>
      </c>
    </row>
    <row r="1764">
      <c r="A1764" t="n">
        <v>1762</v>
      </c>
    </row>
    <row r="1765">
      <c r="A1765" t="n">
        <v>1763</v>
      </c>
    </row>
    <row r="1766">
      <c r="A1766" t="n">
        <v>1764</v>
      </c>
    </row>
    <row r="1767">
      <c r="A1767" t="n">
        <v>1765</v>
      </c>
    </row>
    <row r="1768">
      <c r="A1768" t="n">
        <v>1766</v>
      </c>
    </row>
    <row r="1769">
      <c r="A1769" t="n">
        <v>1767</v>
      </c>
    </row>
    <row r="1770">
      <c r="A1770" t="n">
        <v>1768</v>
      </c>
    </row>
    <row r="1771">
      <c r="A1771" t="n">
        <v>1769</v>
      </c>
    </row>
    <row r="1772">
      <c r="A1772" t="n">
        <v>1770</v>
      </c>
    </row>
    <row r="1773">
      <c r="A1773" t="n">
        <v>1771</v>
      </c>
    </row>
    <row r="1774">
      <c r="A1774" t="n">
        <v>1772</v>
      </c>
    </row>
    <row r="1775">
      <c r="A1775" t="n">
        <v>1773</v>
      </c>
    </row>
    <row r="1776">
      <c r="A1776" t="n">
        <v>1774</v>
      </c>
    </row>
    <row r="1777">
      <c r="A1777" t="n">
        <v>1775</v>
      </c>
    </row>
    <row r="1778">
      <c r="A1778" t="n">
        <v>1776</v>
      </c>
    </row>
    <row r="1779">
      <c r="A1779" t="n">
        <v>1777</v>
      </c>
    </row>
    <row r="1780">
      <c r="A1780" t="n">
        <v>1778</v>
      </c>
    </row>
    <row r="1781">
      <c r="A1781" t="n">
        <v>1779</v>
      </c>
    </row>
    <row r="1782">
      <c r="A1782" t="n">
        <v>1780</v>
      </c>
    </row>
    <row r="1783">
      <c r="A1783" t="n">
        <v>1781</v>
      </c>
    </row>
    <row r="1784">
      <c r="A1784" t="n">
        <v>1782</v>
      </c>
    </row>
    <row r="1785">
      <c r="A1785" t="n">
        <v>1783</v>
      </c>
    </row>
    <row r="1786">
      <c r="A1786" t="n">
        <v>1784</v>
      </c>
    </row>
    <row r="1787">
      <c r="A1787" t="n">
        <v>1785</v>
      </c>
    </row>
    <row r="1788">
      <c r="A1788" t="n">
        <v>1786</v>
      </c>
    </row>
    <row r="1789">
      <c r="A1789" t="n">
        <v>1787</v>
      </c>
    </row>
    <row r="1790">
      <c r="A1790" t="n">
        <v>1788</v>
      </c>
    </row>
    <row r="1791">
      <c r="A1791" t="n">
        <v>1789</v>
      </c>
    </row>
    <row r="1792">
      <c r="A1792" t="n">
        <v>1790</v>
      </c>
    </row>
    <row r="1793">
      <c r="A1793" t="n">
        <v>1791</v>
      </c>
    </row>
    <row r="1794">
      <c r="A1794" t="n">
        <v>1792</v>
      </c>
    </row>
    <row r="1795">
      <c r="A1795" t="n">
        <v>1793</v>
      </c>
    </row>
    <row r="1796">
      <c r="A1796" t="n">
        <v>1794</v>
      </c>
    </row>
    <row r="1797">
      <c r="A1797" t="n">
        <v>1795</v>
      </c>
    </row>
    <row r="1798">
      <c r="A1798" t="n">
        <v>1796</v>
      </c>
    </row>
    <row r="1799">
      <c r="A1799" t="n">
        <v>1797</v>
      </c>
    </row>
    <row r="1800">
      <c r="A1800" t="n">
        <v>1798</v>
      </c>
    </row>
    <row r="1801">
      <c r="A1801" t="n">
        <v>1799</v>
      </c>
    </row>
    <row r="1802">
      <c r="A1802" t="n">
        <v>1800</v>
      </c>
    </row>
    <row r="1803">
      <c r="A1803" t="n">
        <v>1801</v>
      </c>
    </row>
    <row r="1804">
      <c r="A1804" t="n">
        <v>1802</v>
      </c>
    </row>
    <row r="1805">
      <c r="A1805" t="n">
        <v>1803</v>
      </c>
    </row>
    <row r="1806">
      <c r="A1806" t="n">
        <v>1804</v>
      </c>
    </row>
    <row r="1807">
      <c r="A1807" t="n">
        <v>1805</v>
      </c>
    </row>
    <row r="1808">
      <c r="A1808" t="n">
        <v>1806</v>
      </c>
    </row>
    <row r="1809">
      <c r="A1809" t="n">
        <v>1807</v>
      </c>
    </row>
    <row r="1810">
      <c r="A1810" t="n">
        <v>1808</v>
      </c>
    </row>
    <row r="1811">
      <c r="A1811" t="n">
        <v>1809</v>
      </c>
    </row>
    <row r="1812">
      <c r="A1812" t="n">
        <v>1810</v>
      </c>
    </row>
    <row r="1813">
      <c r="A1813" t="n">
        <v>1811</v>
      </c>
    </row>
    <row r="1814">
      <c r="A1814" t="n">
        <v>1812</v>
      </c>
    </row>
    <row r="1815">
      <c r="A1815" t="n">
        <v>1813</v>
      </c>
    </row>
    <row r="1816">
      <c r="A1816" t="n">
        <v>1814</v>
      </c>
    </row>
    <row r="1817">
      <c r="A1817" t="n">
        <v>1815</v>
      </c>
    </row>
    <row r="1818">
      <c r="A1818" t="n">
        <v>1816</v>
      </c>
    </row>
    <row r="1819">
      <c r="A1819" t="n">
        <v>1817</v>
      </c>
    </row>
    <row r="1820">
      <c r="A1820" t="n">
        <v>1818</v>
      </c>
    </row>
    <row r="1821">
      <c r="A1821" t="n">
        <v>1819</v>
      </c>
    </row>
    <row r="1822">
      <c r="A1822" t="n">
        <v>1820</v>
      </c>
    </row>
    <row r="1823">
      <c r="A1823" t="n">
        <v>1821</v>
      </c>
    </row>
    <row r="1824">
      <c r="A1824" t="n">
        <v>1822</v>
      </c>
    </row>
    <row r="1825">
      <c r="A1825" t="n">
        <v>1823</v>
      </c>
    </row>
    <row r="1826">
      <c r="A1826" t="n">
        <v>1824</v>
      </c>
    </row>
    <row r="1827">
      <c r="A1827" t="n">
        <v>1825</v>
      </c>
    </row>
    <row r="1828">
      <c r="A1828" t="n">
        <v>1826</v>
      </c>
    </row>
    <row r="1829">
      <c r="A1829" t="n">
        <v>1827</v>
      </c>
    </row>
    <row r="1830">
      <c r="A1830" t="n">
        <v>1828</v>
      </c>
    </row>
    <row r="1831">
      <c r="A1831" t="n">
        <v>1829</v>
      </c>
    </row>
    <row r="1832">
      <c r="A1832" t="n">
        <v>1830</v>
      </c>
    </row>
    <row r="1833">
      <c r="A1833" t="n">
        <v>1831</v>
      </c>
    </row>
    <row r="1834">
      <c r="A1834" t="n">
        <v>1832</v>
      </c>
    </row>
    <row r="1835">
      <c r="A1835" t="n">
        <v>1833</v>
      </c>
    </row>
    <row r="1836">
      <c r="A1836" t="n">
        <v>1834</v>
      </c>
    </row>
    <row r="1837">
      <c r="A1837" t="n">
        <v>1835</v>
      </c>
    </row>
    <row r="1838">
      <c r="A1838" t="n">
        <v>1836</v>
      </c>
    </row>
    <row r="1839">
      <c r="A1839" t="n">
        <v>1837</v>
      </c>
    </row>
    <row r="1840">
      <c r="A1840" t="n">
        <v>1838</v>
      </c>
    </row>
    <row r="1841">
      <c r="A1841" t="n">
        <v>1839</v>
      </c>
    </row>
    <row r="1842">
      <c r="A1842" t="n">
        <v>1840</v>
      </c>
    </row>
    <row r="1843">
      <c r="A1843" t="n">
        <v>1841</v>
      </c>
    </row>
    <row r="1844">
      <c r="A1844" t="n">
        <v>1842</v>
      </c>
    </row>
    <row r="1845">
      <c r="A1845" t="n">
        <v>1843</v>
      </c>
    </row>
    <row r="1846">
      <c r="A1846" t="n">
        <v>1844</v>
      </c>
    </row>
    <row r="1847">
      <c r="A1847" t="n">
        <v>1845</v>
      </c>
    </row>
    <row r="1848">
      <c r="A1848" t="n">
        <v>1846</v>
      </c>
    </row>
    <row r="1849">
      <c r="A1849" t="n">
        <v>1847</v>
      </c>
    </row>
    <row r="1850">
      <c r="A1850" t="n">
        <v>1848</v>
      </c>
    </row>
    <row r="1851">
      <c r="A1851" t="n">
        <v>1849</v>
      </c>
    </row>
    <row r="1852">
      <c r="A1852" t="n">
        <v>1850</v>
      </c>
    </row>
    <row r="1853">
      <c r="A1853" t="n">
        <v>1851</v>
      </c>
    </row>
    <row r="1854">
      <c r="A1854" t="n">
        <v>1852</v>
      </c>
    </row>
    <row r="1855">
      <c r="A1855" t="n">
        <v>1853</v>
      </c>
    </row>
    <row r="1856">
      <c r="A1856" t="n">
        <v>1854</v>
      </c>
    </row>
    <row r="1857">
      <c r="A1857" t="n">
        <v>1855</v>
      </c>
    </row>
    <row r="1858">
      <c r="A1858" t="n">
        <v>1856</v>
      </c>
    </row>
    <row r="1859">
      <c r="A1859" t="n">
        <v>1857</v>
      </c>
    </row>
    <row r="1860">
      <c r="A1860" t="n">
        <v>1858</v>
      </c>
    </row>
    <row r="1861">
      <c r="A1861" t="n">
        <v>1859</v>
      </c>
    </row>
    <row r="1862">
      <c r="A1862" t="n">
        <v>1860</v>
      </c>
    </row>
    <row r="1863">
      <c r="A1863" t="n">
        <v>1861</v>
      </c>
    </row>
    <row r="1864">
      <c r="A1864" t="n">
        <v>1862</v>
      </c>
    </row>
    <row r="1865">
      <c r="A1865" t="n">
        <v>1863</v>
      </c>
    </row>
    <row r="1866">
      <c r="A1866" t="n">
        <v>1864</v>
      </c>
    </row>
    <row r="1867">
      <c r="A1867" t="n">
        <v>1865</v>
      </c>
    </row>
    <row r="1868">
      <c r="A1868" t="n">
        <v>1866</v>
      </c>
    </row>
    <row r="1869">
      <c r="A1869" t="n">
        <v>1867</v>
      </c>
    </row>
    <row r="1870">
      <c r="A1870" t="n">
        <v>1868</v>
      </c>
    </row>
    <row r="1871">
      <c r="A1871" t="n">
        <v>1869</v>
      </c>
    </row>
    <row r="1872">
      <c r="A1872" t="n">
        <v>1870</v>
      </c>
    </row>
    <row r="1873">
      <c r="A1873" t="n">
        <v>1871</v>
      </c>
    </row>
    <row r="1874">
      <c r="A1874" t="n">
        <v>1872</v>
      </c>
    </row>
    <row r="1875">
      <c r="A1875" t="n">
        <v>1873</v>
      </c>
    </row>
    <row r="1876">
      <c r="A1876" t="n">
        <v>1874</v>
      </c>
    </row>
    <row r="1877">
      <c r="A1877" t="n">
        <v>1875</v>
      </c>
    </row>
    <row r="1878">
      <c r="A1878" t="n">
        <v>1876</v>
      </c>
    </row>
    <row r="1879">
      <c r="A1879" t="n">
        <v>1877</v>
      </c>
    </row>
    <row r="1880">
      <c r="A1880" t="n">
        <v>1878</v>
      </c>
    </row>
    <row r="1881">
      <c r="A1881" t="n">
        <v>1879</v>
      </c>
    </row>
    <row r="1882">
      <c r="A1882" t="n">
        <v>1880</v>
      </c>
    </row>
    <row r="1883">
      <c r="A1883" t="n">
        <v>1881</v>
      </c>
    </row>
    <row r="1884">
      <c r="A1884" t="n">
        <v>1882</v>
      </c>
    </row>
    <row r="1885">
      <c r="A1885" t="n">
        <v>1883</v>
      </c>
    </row>
    <row r="1886">
      <c r="A1886" t="n">
        <v>1884</v>
      </c>
    </row>
    <row r="1887">
      <c r="A1887" t="n">
        <v>1885</v>
      </c>
    </row>
    <row r="1888">
      <c r="A1888" t="n">
        <v>1886</v>
      </c>
    </row>
    <row r="1889">
      <c r="A1889" t="n">
        <v>1887</v>
      </c>
    </row>
    <row r="1890">
      <c r="A1890" t="n">
        <v>1888</v>
      </c>
    </row>
    <row r="1891">
      <c r="A1891" t="n">
        <v>1889</v>
      </c>
    </row>
    <row r="1892">
      <c r="A1892" t="n">
        <v>1890</v>
      </c>
    </row>
    <row r="1893">
      <c r="A1893" t="n">
        <v>1891</v>
      </c>
    </row>
    <row r="1894">
      <c r="A1894" t="n">
        <v>1892</v>
      </c>
    </row>
    <row r="1895">
      <c r="A1895" t="n">
        <v>1893</v>
      </c>
    </row>
    <row r="1896">
      <c r="A1896" t="n">
        <v>1894</v>
      </c>
    </row>
    <row r="1897">
      <c r="A1897" t="n">
        <v>1895</v>
      </c>
    </row>
    <row r="1898">
      <c r="A1898" t="n">
        <v>1896</v>
      </c>
    </row>
    <row r="1899">
      <c r="A1899" t="n">
        <v>1897</v>
      </c>
    </row>
    <row r="1900">
      <c r="A1900" t="n">
        <v>1898</v>
      </c>
    </row>
    <row r="1901">
      <c r="A1901" t="n">
        <v>1899</v>
      </c>
    </row>
    <row r="1902">
      <c r="A1902" t="n">
        <v>1900</v>
      </c>
    </row>
    <row r="1903">
      <c r="A1903" t="n">
        <v>1901</v>
      </c>
    </row>
    <row r="1904">
      <c r="A1904" t="n">
        <v>1902</v>
      </c>
    </row>
    <row r="1905">
      <c r="A1905" t="n">
        <v>1903</v>
      </c>
    </row>
    <row r="1906">
      <c r="A1906" t="n">
        <v>1904</v>
      </c>
    </row>
    <row r="1907">
      <c r="A1907" t="n">
        <v>1905</v>
      </c>
    </row>
    <row r="1908">
      <c r="A1908" t="n">
        <v>1906</v>
      </c>
    </row>
    <row r="1909">
      <c r="A1909" t="n">
        <v>1907</v>
      </c>
    </row>
    <row r="1910">
      <c r="A1910" t="n">
        <v>1908</v>
      </c>
    </row>
    <row r="1911">
      <c r="A1911" t="n">
        <v>1909</v>
      </c>
    </row>
    <row r="1912">
      <c r="A1912" t="n">
        <v>1910</v>
      </c>
    </row>
    <row r="1913">
      <c r="A1913" t="n">
        <v>1911</v>
      </c>
    </row>
    <row r="1914">
      <c r="A1914" t="n">
        <v>1912</v>
      </c>
    </row>
    <row r="1915">
      <c r="A1915" t="n">
        <v>1913</v>
      </c>
    </row>
    <row r="1916">
      <c r="A1916" t="n">
        <v>1914</v>
      </c>
    </row>
    <row r="1917">
      <c r="A1917" t="n">
        <v>1915</v>
      </c>
    </row>
    <row r="1918">
      <c r="A1918" t="n">
        <v>1916</v>
      </c>
    </row>
    <row r="1919">
      <c r="A1919" t="n">
        <v>1917</v>
      </c>
    </row>
    <row r="1920">
      <c r="A1920" t="n">
        <v>1918</v>
      </c>
    </row>
    <row r="1921">
      <c r="A1921" t="n">
        <v>1919</v>
      </c>
    </row>
    <row r="1922">
      <c r="A1922" t="n">
        <v>1920</v>
      </c>
    </row>
    <row r="1923">
      <c r="A1923" t="n">
        <v>1921</v>
      </c>
    </row>
    <row r="1924">
      <c r="A1924" t="n">
        <v>1922</v>
      </c>
    </row>
    <row r="1925">
      <c r="A1925" t="n">
        <v>1923</v>
      </c>
    </row>
    <row r="1926">
      <c r="A1926" t="n">
        <v>1924</v>
      </c>
    </row>
    <row r="1927">
      <c r="A1927" t="n">
        <v>1925</v>
      </c>
    </row>
    <row r="1928">
      <c r="A1928" t="n">
        <v>1926</v>
      </c>
    </row>
    <row r="1929">
      <c r="A1929" t="n">
        <v>1927</v>
      </c>
    </row>
    <row r="1930">
      <c r="A1930" t="n">
        <v>1928</v>
      </c>
    </row>
    <row r="1931">
      <c r="A1931" t="n">
        <v>1929</v>
      </c>
    </row>
    <row r="1932">
      <c r="A1932" t="n">
        <v>1930</v>
      </c>
    </row>
    <row r="1933">
      <c r="A1933" t="n">
        <v>1931</v>
      </c>
    </row>
    <row r="1934">
      <c r="A1934" t="n">
        <v>1932</v>
      </c>
    </row>
    <row r="1935">
      <c r="A1935" t="n">
        <v>1933</v>
      </c>
    </row>
    <row r="1936">
      <c r="A1936" t="n">
        <v>1934</v>
      </c>
    </row>
    <row r="1937">
      <c r="A1937" t="n">
        <v>1935</v>
      </c>
    </row>
    <row r="1938">
      <c r="A1938" t="n">
        <v>1936</v>
      </c>
    </row>
    <row r="1939">
      <c r="A1939" t="n">
        <v>1937</v>
      </c>
    </row>
    <row r="1940">
      <c r="A1940" t="n">
        <v>1938</v>
      </c>
    </row>
    <row r="1941">
      <c r="A1941" t="n">
        <v>1939</v>
      </c>
    </row>
    <row r="1942">
      <c r="A1942" t="n">
        <v>1940</v>
      </c>
    </row>
    <row r="1943">
      <c r="A1943" t="n">
        <v>1941</v>
      </c>
    </row>
    <row r="1944">
      <c r="A1944" t="n">
        <v>1942</v>
      </c>
    </row>
    <row r="1945">
      <c r="A1945" t="n">
        <v>1943</v>
      </c>
    </row>
    <row r="1946">
      <c r="A1946" t="n">
        <v>1944</v>
      </c>
    </row>
    <row r="1947">
      <c r="A1947" t="n">
        <v>1945</v>
      </c>
    </row>
    <row r="1948">
      <c r="A1948" t="n">
        <v>1946</v>
      </c>
    </row>
    <row r="1949">
      <c r="A1949" t="n">
        <v>1947</v>
      </c>
    </row>
    <row r="1950">
      <c r="A1950" t="n">
        <v>1948</v>
      </c>
    </row>
    <row r="1951">
      <c r="A1951" t="n">
        <v>1949</v>
      </c>
    </row>
    <row r="1952">
      <c r="A1952" t="n">
        <v>1950</v>
      </c>
    </row>
    <row r="1953">
      <c r="A1953" t="n">
        <v>1951</v>
      </c>
    </row>
    <row r="1954">
      <c r="A1954" t="n">
        <v>1952</v>
      </c>
    </row>
    <row r="1955">
      <c r="A1955" t="n">
        <v>1953</v>
      </c>
    </row>
    <row r="1956">
      <c r="A1956" t="n">
        <v>1954</v>
      </c>
    </row>
    <row r="1957">
      <c r="A1957" t="n">
        <v>1955</v>
      </c>
    </row>
    <row r="1958">
      <c r="A1958" t="n">
        <v>1956</v>
      </c>
    </row>
    <row r="1959">
      <c r="A1959" t="n">
        <v>1957</v>
      </c>
    </row>
    <row r="1960">
      <c r="A1960" t="n">
        <v>1958</v>
      </c>
    </row>
    <row r="1961">
      <c r="A1961" t="n">
        <v>1959</v>
      </c>
    </row>
    <row r="1962">
      <c r="A1962" t="n">
        <v>1960</v>
      </c>
    </row>
    <row r="1963">
      <c r="A1963" t="n">
        <v>1961</v>
      </c>
    </row>
    <row r="1964">
      <c r="A1964" t="n">
        <v>1962</v>
      </c>
    </row>
    <row r="1965">
      <c r="A1965" t="n">
        <v>1963</v>
      </c>
    </row>
    <row r="1966">
      <c r="A1966" t="n">
        <v>1964</v>
      </c>
    </row>
    <row r="1967">
      <c r="A1967" t="n">
        <v>1965</v>
      </c>
    </row>
    <row r="1968">
      <c r="A1968" t="n">
        <v>1966</v>
      </c>
    </row>
    <row r="1969">
      <c r="A1969" t="n">
        <v>1967</v>
      </c>
    </row>
    <row r="1970">
      <c r="A1970" t="n">
        <v>1968</v>
      </c>
    </row>
    <row r="1971">
      <c r="A1971" t="n">
        <v>1969</v>
      </c>
    </row>
    <row r="1972">
      <c r="A1972" t="n">
        <v>1970</v>
      </c>
    </row>
    <row r="1973">
      <c r="A1973" t="n">
        <v>1971</v>
      </c>
    </row>
    <row r="1974">
      <c r="A1974" t="n">
        <v>1972</v>
      </c>
    </row>
    <row r="1975">
      <c r="A1975" t="n">
        <v>1973</v>
      </c>
    </row>
    <row r="1976">
      <c r="A1976" t="n">
        <v>1974</v>
      </c>
    </row>
    <row r="1977">
      <c r="A1977" t="n">
        <v>1975</v>
      </c>
    </row>
    <row r="1978">
      <c r="A1978" t="n">
        <v>1976</v>
      </c>
    </row>
    <row r="1979">
      <c r="A1979" t="n">
        <v>1977</v>
      </c>
    </row>
    <row r="1980">
      <c r="A1980" t="n">
        <v>1978</v>
      </c>
    </row>
    <row r="1981">
      <c r="A1981" t="n">
        <v>1979</v>
      </c>
    </row>
    <row r="1982">
      <c r="A1982" t="n">
        <v>1980</v>
      </c>
    </row>
    <row r="1983">
      <c r="A1983" t="n">
        <v>1981</v>
      </c>
    </row>
    <row r="1984">
      <c r="A1984" t="n">
        <v>1982</v>
      </c>
    </row>
    <row r="1985">
      <c r="A1985" t="n">
        <v>1983</v>
      </c>
    </row>
    <row r="1986">
      <c r="A1986" t="n">
        <v>1984</v>
      </c>
    </row>
    <row r="1987">
      <c r="A1987" t="n">
        <v>1985</v>
      </c>
    </row>
    <row r="1988">
      <c r="A1988" t="n">
        <v>1986</v>
      </c>
    </row>
    <row r="1989">
      <c r="A1989" t="n">
        <v>1987</v>
      </c>
    </row>
    <row r="1990">
      <c r="A1990" t="n">
        <v>1988</v>
      </c>
    </row>
    <row r="1991">
      <c r="A1991" t="n">
        <v>1989</v>
      </c>
    </row>
    <row r="1992">
      <c r="A1992" t="n">
        <v>1990</v>
      </c>
    </row>
    <row r="1993">
      <c r="A1993" t="n">
        <v>1991</v>
      </c>
    </row>
    <row r="1994">
      <c r="A1994" t="n">
        <v>1992</v>
      </c>
    </row>
    <row r="1995">
      <c r="A1995" t="n">
        <v>1993</v>
      </c>
    </row>
    <row r="1996">
      <c r="A1996" t="n">
        <v>1994</v>
      </c>
    </row>
    <row r="1997">
      <c r="A1997" t="n">
        <v>1995</v>
      </c>
    </row>
    <row r="1998">
      <c r="A1998" t="n">
        <v>1996</v>
      </c>
    </row>
    <row r="1999">
      <c r="A1999" t="n">
        <v>1997</v>
      </c>
    </row>
    <row r="2000">
      <c r="A2000" t="n">
        <v>1998</v>
      </c>
    </row>
    <row r="2001">
      <c r="A2001" t="n">
        <v>1999</v>
      </c>
    </row>
    <row r="2002">
      <c r="A2002" t="n">
        <v>2000</v>
      </c>
    </row>
    <row r="2003">
      <c r="A2003" t="n">
        <v>2001</v>
      </c>
    </row>
    <row r="2004">
      <c r="A2004" t="n">
        <v>2002</v>
      </c>
    </row>
    <row r="2005">
      <c r="A2005" t="n">
        <v>2003</v>
      </c>
    </row>
    <row r="2006">
      <c r="A2006" t="n">
        <v>2004</v>
      </c>
    </row>
    <row r="2007">
      <c r="A2007" t="n">
        <v>2005</v>
      </c>
    </row>
    <row r="2008">
      <c r="A2008" t="n">
        <v>2006</v>
      </c>
    </row>
    <row r="2009">
      <c r="A2009" t="n">
        <v>2007</v>
      </c>
    </row>
    <row r="2010">
      <c r="A2010" t="n">
        <v>2008</v>
      </c>
    </row>
    <row r="2011">
      <c r="A2011" t="n">
        <v>2009</v>
      </c>
    </row>
    <row r="2012">
      <c r="A2012" t="n">
        <v>2010</v>
      </c>
    </row>
    <row r="2013">
      <c r="A2013" t="n">
        <v>2011</v>
      </c>
    </row>
    <row r="2014">
      <c r="A2014" t="n">
        <v>2012</v>
      </c>
    </row>
    <row r="2015">
      <c r="A2015" t="n">
        <v>2013</v>
      </c>
    </row>
    <row r="2016">
      <c r="A2016" t="n">
        <v>2014</v>
      </c>
    </row>
    <row r="2017">
      <c r="A2017" t="n">
        <v>2015</v>
      </c>
    </row>
    <row r="2018">
      <c r="A2018" t="n">
        <v>2016</v>
      </c>
    </row>
    <row r="2019">
      <c r="A2019" t="n">
        <v>2017</v>
      </c>
    </row>
    <row r="2020">
      <c r="A2020" t="n">
        <v>2018</v>
      </c>
    </row>
    <row r="2021">
      <c r="A2021" t="n">
        <v>2019</v>
      </c>
    </row>
    <row r="2022">
      <c r="A2022" t="n">
        <v>2020</v>
      </c>
    </row>
    <row r="2023">
      <c r="A2023" t="n">
        <v>2021</v>
      </c>
    </row>
    <row r="2024">
      <c r="A2024" t="n">
        <v>2022</v>
      </c>
    </row>
    <row r="2025">
      <c r="A2025" t="n">
        <v>2023</v>
      </c>
    </row>
    <row r="2026">
      <c r="A2026" t="n">
        <v>2024</v>
      </c>
    </row>
    <row r="2027">
      <c r="A2027" t="n">
        <v>2025</v>
      </c>
    </row>
    <row r="2028">
      <c r="A2028" t="n">
        <v>2026</v>
      </c>
    </row>
    <row r="2029">
      <c r="A2029" t="n">
        <v>2027</v>
      </c>
    </row>
    <row r="2030">
      <c r="A2030" t="n">
        <v>2028</v>
      </c>
    </row>
    <row r="2031">
      <c r="A2031" t="n">
        <v>2029</v>
      </c>
    </row>
    <row r="2032">
      <c r="A2032" t="n">
        <v>2030</v>
      </c>
    </row>
    <row r="2033">
      <c r="A2033" t="n">
        <v>2031</v>
      </c>
    </row>
    <row r="2034">
      <c r="A2034" t="n">
        <v>2032</v>
      </c>
    </row>
    <row r="2035">
      <c r="A2035" t="n">
        <v>2033</v>
      </c>
    </row>
    <row r="2036">
      <c r="A2036" t="n">
        <v>2034</v>
      </c>
    </row>
    <row r="2037">
      <c r="A2037" t="n">
        <v>2035</v>
      </c>
    </row>
    <row r="2038">
      <c r="A2038" t="n">
        <v>2036</v>
      </c>
    </row>
    <row r="2039">
      <c r="A2039" t="n">
        <v>2037</v>
      </c>
    </row>
    <row r="2040">
      <c r="A2040" t="n">
        <v>2038</v>
      </c>
    </row>
    <row r="2041">
      <c r="A2041" t="n">
        <v>2039</v>
      </c>
    </row>
    <row r="2042">
      <c r="A2042" t="n">
        <v>2040</v>
      </c>
    </row>
    <row r="2043">
      <c r="A2043" t="n">
        <v>2041</v>
      </c>
    </row>
    <row r="2044">
      <c r="A2044" t="n">
        <v>2042</v>
      </c>
    </row>
    <row r="2045">
      <c r="A2045" t="n">
        <v>2043</v>
      </c>
    </row>
    <row r="2046">
      <c r="A2046" t="n">
        <v>2044</v>
      </c>
    </row>
    <row r="2047">
      <c r="A2047" t="n">
        <v>2045</v>
      </c>
    </row>
    <row r="2048">
      <c r="A2048" t="n">
        <v>2046</v>
      </c>
    </row>
    <row r="2049">
      <c r="A2049" t="n">
        <v>2047</v>
      </c>
    </row>
    <row r="2050">
      <c r="A2050" t="n">
        <v>2048</v>
      </c>
    </row>
    <row r="2051">
      <c r="A2051" t="n">
        <v>2049</v>
      </c>
    </row>
    <row r="2052">
      <c r="A2052" t="n">
        <v>2050</v>
      </c>
    </row>
    <row r="2053">
      <c r="A2053" t="n">
        <v>2051</v>
      </c>
    </row>
    <row r="2054">
      <c r="A2054" t="n">
        <v>2052</v>
      </c>
    </row>
    <row r="2055">
      <c r="A2055" t="n">
        <v>2053</v>
      </c>
    </row>
    <row r="2056">
      <c r="A2056" t="n">
        <v>2054</v>
      </c>
    </row>
    <row r="2057">
      <c r="A2057" t="n">
        <v>2055</v>
      </c>
    </row>
    <row r="2058">
      <c r="A2058" t="n">
        <v>2056</v>
      </c>
    </row>
    <row r="2059">
      <c r="A2059" t="n">
        <v>2057</v>
      </c>
    </row>
    <row r="2060">
      <c r="A2060" t="n">
        <v>2058</v>
      </c>
    </row>
    <row r="2061">
      <c r="A2061" t="n">
        <v>2059</v>
      </c>
    </row>
    <row r="2062">
      <c r="A2062" t="n">
        <v>2060</v>
      </c>
    </row>
    <row r="2063">
      <c r="A2063" t="n">
        <v>2061</v>
      </c>
    </row>
    <row r="2064">
      <c r="A2064" t="n">
        <v>2062</v>
      </c>
    </row>
    <row r="2065">
      <c r="A2065" t="n">
        <v>2063</v>
      </c>
    </row>
    <row r="2066">
      <c r="A2066" t="n">
        <v>2064</v>
      </c>
    </row>
    <row r="2067">
      <c r="A2067" t="n">
        <v>2065</v>
      </c>
    </row>
    <row r="2068">
      <c r="A2068" t="n">
        <v>2066</v>
      </c>
    </row>
    <row r="2069">
      <c r="A2069" t="n">
        <v>2067</v>
      </c>
    </row>
    <row r="2070">
      <c r="A2070" t="n">
        <v>2068</v>
      </c>
    </row>
    <row r="2071">
      <c r="A2071" t="n">
        <v>2069</v>
      </c>
    </row>
    <row r="2072">
      <c r="A2072" t="n">
        <v>2070</v>
      </c>
    </row>
    <row r="2073">
      <c r="A2073" t="n">
        <v>2071</v>
      </c>
    </row>
    <row r="2074">
      <c r="A2074" t="n">
        <v>2072</v>
      </c>
    </row>
    <row r="2075">
      <c r="A2075" t="n">
        <v>2073</v>
      </c>
    </row>
    <row r="2076">
      <c r="A2076" t="n">
        <v>2074</v>
      </c>
    </row>
    <row r="2077">
      <c r="A2077" t="n">
        <v>2075</v>
      </c>
    </row>
    <row r="2078">
      <c r="A2078" t="n">
        <v>2076</v>
      </c>
    </row>
    <row r="2079">
      <c r="A2079" t="n">
        <v>2077</v>
      </c>
    </row>
    <row r="2080">
      <c r="A2080" t="n">
        <v>2078</v>
      </c>
    </row>
    <row r="2081">
      <c r="A2081" t="n">
        <v>2079</v>
      </c>
    </row>
    <row r="2082">
      <c r="A2082" t="n">
        <v>2080</v>
      </c>
    </row>
    <row r="2083">
      <c r="A2083" t="n">
        <v>2081</v>
      </c>
    </row>
    <row r="2084">
      <c r="A2084" t="n">
        <v>2082</v>
      </c>
    </row>
    <row r="2085">
      <c r="A2085" t="n">
        <v>2083</v>
      </c>
    </row>
    <row r="2086">
      <c r="A2086" t="n">
        <v>2084</v>
      </c>
    </row>
    <row r="2087">
      <c r="A2087" t="n">
        <v>2085</v>
      </c>
    </row>
    <row r="2088">
      <c r="A2088" t="n">
        <v>2086</v>
      </c>
    </row>
    <row r="2089">
      <c r="A2089" t="n">
        <v>2087</v>
      </c>
    </row>
    <row r="2090">
      <c r="A2090" t="n">
        <v>2088</v>
      </c>
    </row>
    <row r="2091">
      <c r="A2091" t="n">
        <v>2089</v>
      </c>
    </row>
    <row r="2092">
      <c r="A2092" t="n">
        <v>2090</v>
      </c>
    </row>
    <row r="2093">
      <c r="A2093" t="n">
        <v>2091</v>
      </c>
    </row>
    <row r="2094">
      <c r="A2094" t="n">
        <v>2092</v>
      </c>
    </row>
    <row r="2095">
      <c r="A2095" t="n">
        <v>2093</v>
      </c>
    </row>
    <row r="2096">
      <c r="A2096" t="n">
        <v>2094</v>
      </c>
    </row>
    <row r="2097">
      <c r="A2097" t="n">
        <v>2095</v>
      </c>
    </row>
    <row r="2098">
      <c r="A2098" t="n">
        <v>2096</v>
      </c>
    </row>
    <row r="2099">
      <c r="A2099" t="n">
        <v>2097</v>
      </c>
    </row>
    <row r="2100">
      <c r="A2100" t="n">
        <v>2098</v>
      </c>
    </row>
    <row r="2101">
      <c r="A2101" t="n">
        <v>2099</v>
      </c>
    </row>
    <row r="2102">
      <c r="A2102" t="n">
        <v>2100</v>
      </c>
    </row>
    <row r="2103">
      <c r="A2103" t="n">
        <v>2101</v>
      </c>
    </row>
    <row r="2104">
      <c r="A2104" t="n">
        <v>2102</v>
      </c>
    </row>
    <row r="2105">
      <c r="A2105" t="n">
        <v>2103</v>
      </c>
    </row>
    <row r="2106">
      <c r="A2106" t="n">
        <v>2104</v>
      </c>
    </row>
    <row r="2107">
      <c r="A2107" t="n">
        <v>2105</v>
      </c>
    </row>
    <row r="2108">
      <c r="A2108" t="n">
        <v>2106</v>
      </c>
    </row>
    <row r="2109">
      <c r="A2109" t="n">
        <v>2107</v>
      </c>
    </row>
    <row r="2110">
      <c r="A2110" t="n">
        <v>2108</v>
      </c>
    </row>
    <row r="2111">
      <c r="A2111" t="n">
        <v>2109</v>
      </c>
    </row>
    <row r="2112">
      <c r="A2112" t="n">
        <v>2110</v>
      </c>
    </row>
    <row r="2113">
      <c r="A2113" t="n">
        <v>2111</v>
      </c>
    </row>
    <row r="2114">
      <c r="A2114" t="n">
        <v>2112</v>
      </c>
    </row>
    <row r="2115">
      <c r="A2115" t="n">
        <v>2113</v>
      </c>
    </row>
    <row r="2116">
      <c r="A2116" t="n">
        <v>2114</v>
      </c>
    </row>
    <row r="2117">
      <c r="A2117" t="n">
        <v>2115</v>
      </c>
    </row>
    <row r="2118">
      <c r="A2118" t="n">
        <v>2116</v>
      </c>
    </row>
    <row r="2119">
      <c r="A2119" t="n">
        <v>2117</v>
      </c>
    </row>
    <row r="2120">
      <c r="A2120" t="n">
        <v>2118</v>
      </c>
    </row>
    <row r="2121">
      <c r="A2121" t="n">
        <v>2119</v>
      </c>
    </row>
    <row r="2122">
      <c r="A2122" t="n">
        <v>2120</v>
      </c>
    </row>
    <row r="2123">
      <c r="A2123" t="n">
        <v>2121</v>
      </c>
    </row>
    <row r="2124">
      <c r="A2124" t="n">
        <v>2122</v>
      </c>
    </row>
    <row r="2125">
      <c r="A2125" t="n">
        <v>2123</v>
      </c>
    </row>
    <row r="2126">
      <c r="A2126" t="n">
        <v>2124</v>
      </c>
    </row>
    <row r="2127">
      <c r="A2127" t="n">
        <v>2125</v>
      </c>
    </row>
    <row r="2128">
      <c r="A2128" t="n">
        <v>2126</v>
      </c>
    </row>
    <row r="2129">
      <c r="A2129" t="n">
        <v>2127</v>
      </c>
    </row>
    <row r="2130">
      <c r="A2130" t="n">
        <v>2128</v>
      </c>
    </row>
    <row r="2131">
      <c r="A2131" t="n">
        <v>2129</v>
      </c>
    </row>
    <row r="2132">
      <c r="A2132" t="n">
        <v>2130</v>
      </c>
    </row>
    <row r="2133">
      <c r="A2133" t="n">
        <v>2131</v>
      </c>
    </row>
    <row r="2134">
      <c r="A2134" t="n">
        <v>2132</v>
      </c>
    </row>
    <row r="2135">
      <c r="A2135" t="n">
        <v>2133</v>
      </c>
    </row>
    <row r="2136">
      <c r="A2136" t="n">
        <v>2134</v>
      </c>
    </row>
    <row r="2137">
      <c r="A2137" t="n">
        <v>2135</v>
      </c>
    </row>
    <row r="2138">
      <c r="A2138" t="n">
        <v>2136</v>
      </c>
    </row>
    <row r="2139">
      <c r="A2139" t="n">
        <v>2137</v>
      </c>
    </row>
    <row r="2140">
      <c r="A2140" t="n">
        <v>2138</v>
      </c>
    </row>
    <row r="2141">
      <c r="A2141" t="n">
        <v>2139</v>
      </c>
    </row>
    <row r="2142">
      <c r="A2142" t="n">
        <v>2140</v>
      </c>
    </row>
    <row r="2143">
      <c r="A2143" t="n">
        <v>2141</v>
      </c>
    </row>
    <row r="2144">
      <c r="A2144" t="n">
        <v>2142</v>
      </c>
    </row>
    <row r="2145">
      <c r="A2145" t="n">
        <v>2143</v>
      </c>
    </row>
    <row r="2146">
      <c r="A2146" t="n">
        <v>2144</v>
      </c>
    </row>
    <row r="2147">
      <c r="A2147" t="n">
        <v>2145</v>
      </c>
    </row>
    <row r="2148">
      <c r="A2148" t="n">
        <v>2146</v>
      </c>
    </row>
    <row r="2149">
      <c r="A2149" t="n">
        <v>2147</v>
      </c>
    </row>
    <row r="2150">
      <c r="A2150" t="n">
        <v>2148</v>
      </c>
    </row>
    <row r="2151">
      <c r="A2151" t="n">
        <v>2149</v>
      </c>
    </row>
    <row r="2152">
      <c r="A2152" t="n">
        <v>2150</v>
      </c>
    </row>
    <row r="2153">
      <c r="A2153" t="n">
        <v>2151</v>
      </c>
    </row>
    <row r="2154">
      <c r="A2154" t="n">
        <v>2152</v>
      </c>
    </row>
    <row r="2155">
      <c r="A2155" t="n">
        <v>2153</v>
      </c>
    </row>
    <row r="2156">
      <c r="A2156" t="n">
        <v>2154</v>
      </c>
    </row>
    <row r="2157">
      <c r="A2157" t="n">
        <v>2155</v>
      </c>
    </row>
    <row r="2158">
      <c r="A2158" t="n">
        <v>2156</v>
      </c>
    </row>
    <row r="2159">
      <c r="A2159" t="n">
        <v>2157</v>
      </c>
    </row>
    <row r="2160">
      <c r="A2160" t="n">
        <v>2158</v>
      </c>
    </row>
    <row r="2161">
      <c r="A2161" t="n">
        <v>2159</v>
      </c>
    </row>
    <row r="2162">
      <c r="A2162" t="n">
        <v>2160</v>
      </c>
    </row>
    <row r="2163">
      <c r="A2163" t="n">
        <v>2161</v>
      </c>
    </row>
    <row r="2164">
      <c r="A2164" t="n">
        <v>2162</v>
      </c>
    </row>
    <row r="2165">
      <c r="A2165" t="n">
        <v>2163</v>
      </c>
    </row>
    <row r="2166">
      <c r="A2166" t="n">
        <v>2164</v>
      </c>
    </row>
    <row r="2167">
      <c r="A2167" t="n">
        <v>2165</v>
      </c>
    </row>
    <row r="2168">
      <c r="A2168" t="n">
        <v>2166</v>
      </c>
    </row>
    <row r="2169">
      <c r="A2169" t="n">
        <v>2167</v>
      </c>
    </row>
    <row r="2170">
      <c r="A2170" t="n">
        <v>2168</v>
      </c>
    </row>
    <row r="2171">
      <c r="A2171" t="n">
        <v>2169</v>
      </c>
    </row>
    <row r="2172">
      <c r="A2172" t="n">
        <v>2170</v>
      </c>
    </row>
    <row r="2173">
      <c r="A2173" t="n">
        <v>2171</v>
      </c>
    </row>
    <row r="2174">
      <c r="A2174" t="n">
        <v>2172</v>
      </c>
    </row>
    <row r="2175">
      <c r="A2175" t="n">
        <v>2173</v>
      </c>
    </row>
    <row r="2176">
      <c r="A2176" t="n">
        <v>2174</v>
      </c>
    </row>
    <row r="2177">
      <c r="A2177" t="n">
        <v>2175</v>
      </c>
    </row>
    <row r="2178">
      <c r="A2178" t="n">
        <v>2176</v>
      </c>
    </row>
    <row r="2179">
      <c r="A2179" t="n">
        <v>2177</v>
      </c>
    </row>
    <row r="2180">
      <c r="A2180" t="n">
        <v>2178</v>
      </c>
    </row>
    <row r="2181">
      <c r="A2181" t="n">
        <v>2179</v>
      </c>
    </row>
    <row r="2182">
      <c r="A2182" t="n">
        <v>2180</v>
      </c>
    </row>
    <row r="2183">
      <c r="A2183" t="n">
        <v>2181</v>
      </c>
    </row>
    <row r="2184">
      <c r="A2184" t="n">
        <v>2182</v>
      </c>
    </row>
    <row r="2185">
      <c r="A2185" t="n">
        <v>2183</v>
      </c>
    </row>
    <row r="2186">
      <c r="A2186" t="n">
        <v>2184</v>
      </c>
    </row>
    <row r="2187">
      <c r="A2187" t="n">
        <v>2185</v>
      </c>
    </row>
    <row r="2188">
      <c r="A2188" t="n">
        <v>2186</v>
      </c>
    </row>
    <row r="2189">
      <c r="A2189" t="n">
        <v>2187</v>
      </c>
    </row>
    <row r="2190">
      <c r="A2190" t="n">
        <v>2188</v>
      </c>
    </row>
    <row r="2191">
      <c r="A2191" t="n">
        <v>2189</v>
      </c>
    </row>
    <row r="2192">
      <c r="A2192" t="n">
        <v>2190</v>
      </c>
    </row>
    <row r="2193">
      <c r="A2193" t="n">
        <v>2191</v>
      </c>
    </row>
    <row r="2194">
      <c r="A2194" t="n">
        <v>2192</v>
      </c>
    </row>
    <row r="2195">
      <c r="A2195" t="n">
        <v>2193</v>
      </c>
    </row>
    <row r="2196">
      <c r="A2196" t="n">
        <v>2194</v>
      </c>
    </row>
    <row r="2197">
      <c r="A2197" t="n">
        <v>2195</v>
      </c>
    </row>
    <row r="2198">
      <c r="A2198" t="n">
        <v>2196</v>
      </c>
    </row>
    <row r="2199">
      <c r="A2199" t="n">
        <v>2197</v>
      </c>
    </row>
    <row r="2200">
      <c r="A2200" t="n">
        <v>2198</v>
      </c>
    </row>
    <row r="2201">
      <c r="A2201" t="n">
        <v>2199</v>
      </c>
    </row>
    <row r="2202">
      <c r="A2202" t="n">
        <v>2200</v>
      </c>
    </row>
    <row r="2203">
      <c r="A2203" t="n">
        <v>2201</v>
      </c>
    </row>
    <row r="2204">
      <c r="A2204" t="n">
        <v>2202</v>
      </c>
    </row>
    <row r="2205">
      <c r="A2205" t="n">
        <v>2203</v>
      </c>
    </row>
    <row r="2206">
      <c r="A2206" t="n">
        <v>2204</v>
      </c>
    </row>
    <row r="2207">
      <c r="A2207" t="n">
        <v>2205</v>
      </c>
    </row>
    <row r="2208">
      <c r="A2208" t="n">
        <v>2206</v>
      </c>
    </row>
    <row r="2209">
      <c r="A2209" t="n">
        <v>2207</v>
      </c>
    </row>
    <row r="2210">
      <c r="A2210" t="n">
        <v>2208</v>
      </c>
    </row>
    <row r="2211">
      <c r="A2211" t="n">
        <v>2209</v>
      </c>
    </row>
    <row r="2212">
      <c r="A2212" t="n">
        <v>2210</v>
      </c>
    </row>
    <row r="2213">
      <c r="A2213" t="n">
        <v>2211</v>
      </c>
    </row>
    <row r="2214">
      <c r="A2214" t="n">
        <v>2212</v>
      </c>
    </row>
    <row r="2215">
      <c r="A2215" t="n">
        <v>2213</v>
      </c>
    </row>
    <row r="2216">
      <c r="A2216" t="n">
        <v>2214</v>
      </c>
    </row>
    <row r="2217">
      <c r="A2217" t="n">
        <v>2215</v>
      </c>
    </row>
    <row r="2218">
      <c r="A2218" t="n">
        <v>2216</v>
      </c>
    </row>
    <row r="2219">
      <c r="A2219" t="n">
        <v>2217</v>
      </c>
    </row>
    <row r="2220">
      <c r="A2220" t="n">
        <v>2218</v>
      </c>
    </row>
    <row r="2221">
      <c r="A2221" t="n">
        <v>2219</v>
      </c>
    </row>
    <row r="2222">
      <c r="A2222" t="n">
        <v>2220</v>
      </c>
    </row>
    <row r="2223">
      <c r="A2223" t="n">
        <v>2221</v>
      </c>
    </row>
    <row r="2224">
      <c r="A2224" t="n">
        <v>2222</v>
      </c>
    </row>
    <row r="2225">
      <c r="A2225" t="n">
        <v>2223</v>
      </c>
    </row>
    <row r="2226">
      <c r="A2226" t="n">
        <v>2224</v>
      </c>
    </row>
    <row r="2227">
      <c r="A2227" t="n">
        <v>2225</v>
      </c>
    </row>
    <row r="2228">
      <c r="A2228" t="n">
        <v>2226</v>
      </c>
    </row>
    <row r="2229">
      <c r="A2229" t="n">
        <v>2227</v>
      </c>
    </row>
    <row r="2230">
      <c r="A2230" t="n">
        <v>2228</v>
      </c>
    </row>
    <row r="2231">
      <c r="A2231" t="n">
        <v>2229</v>
      </c>
    </row>
    <row r="2232">
      <c r="A2232" t="n">
        <v>2230</v>
      </c>
    </row>
    <row r="2233">
      <c r="A2233" t="n">
        <v>2231</v>
      </c>
    </row>
    <row r="2234">
      <c r="A2234" t="n">
        <v>2232</v>
      </c>
    </row>
    <row r="2235">
      <c r="A2235" t="n">
        <v>2233</v>
      </c>
    </row>
    <row r="2236">
      <c r="A2236" t="n">
        <v>2234</v>
      </c>
    </row>
    <row r="2237">
      <c r="A2237" t="n">
        <v>2235</v>
      </c>
    </row>
    <row r="2238">
      <c r="A2238" t="n">
        <v>2236</v>
      </c>
    </row>
    <row r="2239">
      <c r="A2239" t="n">
        <v>2237</v>
      </c>
    </row>
    <row r="2240">
      <c r="A2240" t="n">
        <v>2238</v>
      </c>
    </row>
    <row r="2241">
      <c r="A2241" t="n">
        <v>2239</v>
      </c>
    </row>
    <row r="2242">
      <c r="A2242" t="n">
        <v>2240</v>
      </c>
    </row>
    <row r="2243">
      <c r="A2243" t="n">
        <v>2241</v>
      </c>
    </row>
    <row r="2244">
      <c r="A2244" t="n">
        <v>2242</v>
      </c>
    </row>
    <row r="2245">
      <c r="A2245" t="n">
        <v>2243</v>
      </c>
    </row>
    <row r="2246">
      <c r="A2246" t="n">
        <v>2244</v>
      </c>
    </row>
    <row r="2247">
      <c r="A2247" t="n">
        <v>2245</v>
      </c>
    </row>
    <row r="2248">
      <c r="A2248" t="n">
        <v>2246</v>
      </c>
    </row>
    <row r="2249">
      <c r="A2249" t="n">
        <v>2247</v>
      </c>
    </row>
    <row r="2250">
      <c r="A2250" t="n">
        <v>2248</v>
      </c>
    </row>
    <row r="2251">
      <c r="A2251" t="n">
        <v>2249</v>
      </c>
    </row>
    <row r="2252">
      <c r="A2252" t="n">
        <v>2250</v>
      </c>
    </row>
    <row r="2253">
      <c r="A2253" t="n">
        <v>2251</v>
      </c>
    </row>
    <row r="2254">
      <c r="A2254" t="n">
        <v>2252</v>
      </c>
    </row>
    <row r="2255">
      <c r="A2255" t="n">
        <v>2253</v>
      </c>
    </row>
    <row r="2256">
      <c r="A2256" t="n">
        <v>2254</v>
      </c>
    </row>
    <row r="2257">
      <c r="A2257" t="n">
        <v>2255</v>
      </c>
    </row>
    <row r="2258">
      <c r="A2258" t="n">
        <v>2256</v>
      </c>
    </row>
    <row r="2259">
      <c r="A2259" t="n">
        <v>2257</v>
      </c>
    </row>
    <row r="2260">
      <c r="A2260" t="n">
        <v>2258</v>
      </c>
    </row>
    <row r="2261">
      <c r="A2261" t="n">
        <v>2259</v>
      </c>
    </row>
    <row r="2262">
      <c r="A2262" t="n">
        <v>2260</v>
      </c>
    </row>
    <row r="2263">
      <c r="A2263" t="n">
        <v>2261</v>
      </c>
    </row>
    <row r="2264">
      <c r="A2264" t="n">
        <v>2262</v>
      </c>
    </row>
    <row r="2265">
      <c r="A2265" t="n">
        <v>2263</v>
      </c>
    </row>
    <row r="2266">
      <c r="A2266" t="n">
        <v>2264</v>
      </c>
    </row>
    <row r="2267">
      <c r="A2267" t="n">
        <v>2265</v>
      </c>
    </row>
    <row r="2268">
      <c r="A2268" t="n">
        <v>2266</v>
      </c>
    </row>
    <row r="2269">
      <c r="A2269" t="n">
        <v>2267</v>
      </c>
    </row>
    <row r="2270">
      <c r="A2270" t="n">
        <v>2268</v>
      </c>
    </row>
    <row r="2271">
      <c r="A2271" t="n">
        <v>2269</v>
      </c>
    </row>
    <row r="2272">
      <c r="A2272" t="n">
        <v>2270</v>
      </c>
    </row>
    <row r="2273">
      <c r="A2273" t="n">
        <v>2271</v>
      </c>
    </row>
    <row r="2274">
      <c r="A2274" t="n">
        <v>2272</v>
      </c>
    </row>
    <row r="2275">
      <c r="A2275" t="n">
        <v>2273</v>
      </c>
    </row>
    <row r="2276">
      <c r="A2276" t="n">
        <v>2274</v>
      </c>
    </row>
    <row r="2277">
      <c r="A2277" t="n">
        <v>2275</v>
      </c>
    </row>
    <row r="2278">
      <c r="A2278" t="n">
        <v>2276</v>
      </c>
    </row>
    <row r="2279">
      <c r="A2279" t="n">
        <v>2277</v>
      </c>
    </row>
    <row r="2280">
      <c r="A2280" t="n">
        <v>2278</v>
      </c>
    </row>
    <row r="2281">
      <c r="A2281" t="n">
        <v>2279</v>
      </c>
    </row>
    <row r="2282">
      <c r="A2282" t="n">
        <v>2280</v>
      </c>
    </row>
    <row r="2283">
      <c r="A2283" t="n">
        <v>2281</v>
      </c>
    </row>
    <row r="2284">
      <c r="A2284" t="n">
        <v>2282</v>
      </c>
    </row>
    <row r="2285">
      <c r="A2285" t="n">
        <v>2283</v>
      </c>
    </row>
    <row r="2286">
      <c r="A2286" t="n">
        <v>2284</v>
      </c>
    </row>
    <row r="2287">
      <c r="A2287" t="n">
        <v>2285</v>
      </c>
    </row>
    <row r="2288">
      <c r="A2288" t="n">
        <v>2286</v>
      </c>
    </row>
    <row r="2289">
      <c r="A2289" t="n">
        <v>2287</v>
      </c>
    </row>
    <row r="2290">
      <c r="A2290" t="n">
        <v>2288</v>
      </c>
    </row>
    <row r="2291">
      <c r="A2291" t="n">
        <v>2289</v>
      </c>
    </row>
    <row r="2292">
      <c r="A2292" t="n">
        <v>2290</v>
      </c>
    </row>
    <row r="2293">
      <c r="A2293" t="n">
        <v>2291</v>
      </c>
    </row>
    <row r="2294">
      <c r="A2294" t="n">
        <v>2292</v>
      </c>
    </row>
    <row r="2295">
      <c r="A2295" t="n">
        <v>2293</v>
      </c>
    </row>
    <row r="2296">
      <c r="A2296" t="n">
        <v>2294</v>
      </c>
    </row>
    <row r="2297">
      <c r="A2297" t="n">
        <v>2295</v>
      </c>
    </row>
    <row r="2298">
      <c r="A2298" t="n">
        <v>2296</v>
      </c>
    </row>
    <row r="2299">
      <c r="A2299" t="n">
        <v>2297</v>
      </c>
    </row>
    <row r="2300">
      <c r="A2300" t="n">
        <v>2298</v>
      </c>
    </row>
    <row r="2301">
      <c r="A2301" t="n">
        <v>2299</v>
      </c>
    </row>
    <row r="2302">
      <c r="A2302" t="n">
        <v>2300</v>
      </c>
    </row>
    <row r="2303">
      <c r="A2303" t="n">
        <v>2301</v>
      </c>
    </row>
    <row r="2304">
      <c r="A2304" t="n">
        <v>2302</v>
      </c>
    </row>
    <row r="2305">
      <c r="A2305" t="n">
        <v>2303</v>
      </c>
    </row>
    <row r="2306">
      <c r="A2306" t="n">
        <v>2304</v>
      </c>
    </row>
    <row r="2307">
      <c r="A2307" t="n">
        <v>2305</v>
      </c>
    </row>
    <row r="2308">
      <c r="A2308" t="n">
        <v>2306</v>
      </c>
    </row>
    <row r="2309">
      <c r="A2309" t="n">
        <v>2307</v>
      </c>
    </row>
    <row r="2310">
      <c r="A2310" t="n">
        <v>2308</v>
      </c>
    </row>
    <row r="2311">
      <c r="A2311" t="n">
        <v>2309</v>
      </c>
    </row>
    <row r="2312">
      <c r="A2312" t="n">
        <v>2310</v>
      </c>
    </row>
    <row r="2313">
      <c r="A2313" t="n">
        <v>2311</v>
      </c>
    </row>
    <row r="2314">
      <c r="A2314" t="n">
        <v>2312</v>
      </c>
    </row>
    <row r="2315">
      <c r="A2315" t="n">
        <v>2313</v>
      </c>
    </row>
    <row r="2316">
      <c r="A2316" t="n">
        <v>2314</v>
      </c>
    </row>
    <row r="2317">
      <c r="A2317" t="n">
        <v>2315</v>
      </c>
    </row>
    <row r="2318">
      <c r="A2318" t="n">
        <v>2316</v>
      </c>
    </row>
    <row r="2319">
      <c r="A2319" t="n">
        <v>2317</v>
      </c>
    </row>
    <row r="2320">
      <c r="A2320" t="n">
        <v>2318</v>
      </c>
    </row>
    <row r="2321">
      <c r="A2321" t="n">
        <v>2319</v>
      </c>
    </row>
    <row r="2322">
      <c r="A2322" t="n">
        <v>2320</v>
      </c>
    </row>
    <row r="2323">
      <c r="A2323" t="n">
        <v>2321</v>
      </c>
    </row>
    <row r="2324">
      <c r="A2324" t="n">
        <v>2322</v>
      </c>
    </row>
    <row r="2325">
      <c r="A2325" t="n">
        <v>2323</v>
      </c>
    </row>
    <row r="2326">
      <c r="A2326" t="n">
        <v>2324</v>
      </c>
    </row>
    <row r="2327">
      <c r="A2327" t="n">
        <v>2325</v>
      </c>
    </row>
    <row r="2328">
      <c r="A2328" t="n">
        <v>2326</v>
      </c>
    </row>
    <row r="2329">
      <c r="A2329" t="n">
        <v>2327</v>
      </c>
    </row>
    <row r="2330">
      <c r="A2330" t="n">
        <v>2328</v>
      </c>
    </row>
    <row r="2331">
      <c r="A2331" t="n">
        <v>2329</v>
      </c>
    </row>
    <row r="2332">
      <c r="A2332" t="n">
        <v>2330</v>
      </c>
    </row>
    <row r="2333">
      <c r="A2333" t="n">
        <v>2331</v>
      </c>
    </row>
    <row r="2334">
      <c r="A2334" t="n">
        <v>2332</v>
      </c>
    </row>
    <row r="2335">
      <c r="A2335" t="n">
        <v>2333</v>
      </c>
    </row>
    <row r="2336">
      <c r="A2336" t="n">
        <v>2334</v>
      </c>
    </row>
    <row r="2337">
      <c r="A2337" t="n">
        <v>2335</v>
      </c>
    </row>
    <row r="2338">
      <c r="A2338" t="n">
        <v>2336</v>
      </c>
    </row>
    <row r="2339">
      <c r="A2339" t="n">
        <v>2337</v>
      </c>
    </row>
    <row r="2340">
      <c r="A2340" t="n">
        <v>2338</v>
      </c>
    </row>
    <row r="2341">
      <c r="A2341" t="n">
        <v>2339</v>
      </c>
    </row>
    <row r="2342">
      <c r="A2342" t="n">
        <v>2340</v>
      </c>
    </row>
    <row r="2343">
      <c r="A2343" t="n">
        <v>2341</v>
      </c>
    </row>
    <row r="2344">
      <c r="A2344" t="n">
        <v>2342</v>
      </c>
    </row>
    <row r="2345">
      <c r="A2345" t="n">
        <v>2343</v>
      </c>
    </row>
    <row r="2346">
      <c r="A2346" t="n">
        <v>2344</v>
      </c>
    </row>
    <row r="2347">
      <c r="A2347" t="n">
        <v>2345</v>
      </c>
    </row>
    <row r="2348">
      <c r="A2348" t="n">
        <v>2346</v>
      </c>
    </row>
    <row r="2349">
      <c r="A2349" t="n">
        <v>2347</v>
      </c>
    </row>
    <row r="2350">
      <c r="A2350" t="n">
        <v>2348</v>
      </c>
    </row>
    <row r="2351">
      <c r="A2351" t="n">
        <v>2349</v>
      </c>
    </row>
    <row r="2352">
      <c r="A2352" t="n">
        <v>2350</v>
      </c>
    </row>
    <row r="2353">
      <c r="A2353" t="n">
        <v>2351</v>
      </c>
    </row>
    <row r="2354">
      <c r="A2354" t="n">
        <v>2352</v>
      </c>
    </row>
    <row r="2355">
      <c r="A2355" t="n">
        <v>2353</v>
      </c>
    </row>
    <row r="2356">
      <c r="A2356" t="n">
        <v>2354</v>
      </c>
    </row>
    <row r="2357">
      <c r="A2357" t="n">
        <v>2355</v>
      </c>
    </row>
    <row r="2358">
      <c r="A2358" t="n">
        <v>2356</v>
      </c>
    </row>
    <row r="2359">
      <c r="A2359" t="n">
        <v>2357</v>
      </c>
    </row>
    <row r="2360">
      <c r="A2360" t="n">
        <v>2358</v>
      </c>
    </row>
    <row r="2361">
      <c r="A2361" t="n">
        <v>2359</v>
      </c>
    </row>
    <row r="2362">
      <c r="A2362" t="n">
        <v>2360</v>
      </c>
    </row>
    <row r="2363">
      <c r="A2363" t="n">
        <v>2361</v>
      </c>
    </row>
    <row r="2364">
      <c r="A2364" t="n">
        <v>2362</v>
      </c>
    </row>
    <row r="2365">
      <c r="A2365" t="n">
        <v>2363</v>
      </c>
    </row>
    <row r="2366">
      <c r="A2366" t="n">
        <v>2364</v>
      </c>
    </row>
    <row r="2367">
      <c r="A2367" t="n">
        <v>2365</v>
      </c>
    </row>
    <row r="2368">
      <c r="A2368" t="n">
        <v>2366</v>
      </c>
    </row>
    <row r="2369">
      <c r="A2369" t="n">
        <v>2367</v>
      </c>
    </row>
    <row r="2370">
      <c r="A2370" t="n">
        <v>2368</v>
      </c>
    </row>
    <row r="2371">
      <c r="A2371" t="n">
        <v>2369</v>
      </c>
    </row>
    <row r="2372">
      <c r="A2372" t="n">
        <v>2370</v>
      </c>
    </row>
    <row r="2373">
      <c r="A2373" t="n">
        <v>2371</v>
      </c>
    </row>
    <row r="2374">
      <c r="A2374" t="n">
        <v>2372</v>
      </c>
    </row>
    <row r="2375">
      <c r="A2375" t="n">
        <v>2373</v>
      </c>
    </row>
    <row r="2376">
      <c r="A2376" t="n">
        <v>2374</v>
      </c>
    </row>
    <row r="2377">
      <c r="A2377" t="n">
        <v>2375</v>
      </c>
    </row>
    <row r="2378">
      <c r="A2378" t="n">
        <v>2376</v>
      </c>
    </row>
    <row r="2379">
      <c r="A2379" t="n">
        <v>2377</v>
      </c>
    </row>
    <row r="2380">
      <c r="A2380" t="n">
        <v>2378</v>
      </c>
    </row>
    <row r="2381">
      <c r="A2381" t="n">
        <v>2379</v>
      </c>
    </row>
    <row r="2382">
      <c r="A2382" t="n">
        <v>2380</v>
      </c>
    </row>
    <row r="2383">
      <c r="A2383" t="n">
        <v>2381</v>
      </c>
    </row>
    <row r="2384">
      <c r="A2384" t="n">
        <v>2382</v>
      </c>
    </row>
    <row r="2385">
      <c r="A2385" t="n">
        <v>2383</v>
      </c>
    </row>
    <row r="2386">
      <c r="A2386" t="n">
        <v>2384</v>
      </c>
    </row>
    <row r="2387">
      <c r="A2387" t="n">
        <v>2385</v>
      </c>
    </row>
    <row r="2388">
      <c r="A2388" t="n">
        <v>2386</v>
      </c>
    </row>
    <row r="2389">
      <c r="A2389" t="n">
        <v>2387</v>
      </c>
    </row>
    <row r="2390">
      <c r="A2390" t="n">
        <v>2388</v>
      </c>
    </row>
    <row r="2391">
      <c r="A2391" t="n">
        <v>2389</v>
      </c>
    </row>
    <row r="2392">
      <c r="A2392" t="n">
        <v>2390</v>
      </c>
    </row>
    <row r="2393">
      <c r="A2393" t="n">
        <v>2391</v>
      </c>
    </row>
    <row r="2394">
      <c r="A2394" t="n">
        <v>2392</v>
      </c>
    </row>
    <row r="2395">
      <c r="A2395" t="n">
        <v>2393</v>
      </c>
    </row>
    <row r="2396">
      <c r="A2396" t="n">
        <v>2394</v>
      </c>
    </row>
    <row r="2397">
      <c r="A2397" t="n">
        <v>2395</v>
      </c>
    </row>
    <row r="2398">
      <c r="A2398" t="n">
        <v>2396</v>
      </c>
    </row>
    <row r="2399">
      <c r="A2399" t="n">
        <v>2397</v>
      </c>
    </row>
    <row r="2400">
      <c r="A2400" t="n">
        <v>2398</v>
      </c>
    </row>
    <row r="2401">
      <c r="A2401" t="n">
        <v>2399</v>
      </c>
    </row>
    <row r="2402">
      <c r="A2402" t="n">
        <v>2400</v>
      </c>
    </row>
    <row r="2403">
      <c r="A2403" t="n">
        <v>2401</v>
      </c>
    </row>
    <row r="2404">
      <c r="A2404" t="n">
        <v>2402</v>
      </c>
    </row>
    <row r="2405">
      <c r="A2405" t="n">
        <v>2403</v>
      </c>
    </row>
    <row r="2406">
      <c r="A2406" t="n">
        <v>2404</v>
      </c>
    </row>
    <row r="2407">
      <c r="A2407" t="n">
        <v>2405</v>
      </c>
    </row>
    <row r="2408">
      <c r="A2408" t="n">
        <v>2406</v>
      </c>
    </row>
    <row r="2409">
      <c r="A2409" t="n">
        <v>2407</v>
      </c>
    </row>
    <row r="2410">
      <c r="A2410" t="n">
        <v>2408</v>
      </c>
    </row>
    <row r="2411">
      <c r="A2411" t="n">
        <v>2409</v>
      </c>
    </row>
    <row r="2412">
      <c r="A2412" t="n">
        <v>2410</v>
      </c>
    </row>
    <row r="2413">
      <c r="A2413" t="n">
        <v>2411</v>
      </c>
    </row>
    <row r="2414">
      <c r="A2414" t="n">
        <v>2412</v>
      </c>
    </row>
    <row r="2415">
      <c r="A2415" t="n">
        <v>2413</v>
      </c>
    </row>
    <row r="2416">
      <c r="A2416" t="n">
        <v>2414</v>
      </c>
    </row>
    <row r="2417">
      <c r="A2417" t="n">
        <v>2415</v>
      </c>
    </row>
    <row r="2418">
      <c r="A2418" t="n">
        <v>2416</v>
      </c>
    </row>
    <row r="2419">
      <c r="A2419" t="n">
        <v>2417</v>
      </c>
    </row>
    <row r="2420">
      <c r="A2420" t="n">
        <v>2418</v>
      </c>
    </row>
    <row r="2421">
      <c r="A2421" t="n">
        <v>2419</v>
      </c>
    </row>
    <row r="2422">
      <c r="A2422" t="n">
        <v>2420</v>
      </c>
    </row>
    <row r="2423">
      <c r="A2423" t="n">
        <v>2421</v>
      </c>
    </row>
    <row r="2424">
      <c r="A2424" t="n">
        <v>2422</v>
      </c>
    </row>
    <row r="2425">
      <c r="A2425" t="n">
        <v>2423</v>
      </c>
    </row>
    <row r="2426">
      <c r="A2426" t="n">
        <v>2424</v>
      </c>
    </row>
    <row r="2427">
      <c r="A2427" t="n">
        <v>2425</v>
      </c>
    </row>
    <row r="2428">
      <c r="A2428" t="n">
        <v>2426</v>
      </c>
    </row>
    <row r="2429">
      <c r="A2429" t="n">
        <v>2427</v>
      </c>
    </row>
    <row r="2430">
      <c r="A2430" t="n">
        <v>2428</v>
      </c>
    </row>
    <row r="2431">
      <c r="A2431" t="n">
        <v>2429</v>
      </c>
    </row>
    <row r="2432">
      <c r="A2432" t="n">
        <v>2430</v>
      </c>
    </row>
    <row r="2433">
      <c r="A2433" t="n">
        <v>2431</v>
      </c>
    </row>
    <row r="2434">
      <c r="A2434" t="n">
        <v>2432</v>
      </c>
    </row>
    <row r="2435">
      <c r="A2435" t="n">
        <v>2433</v>
      </c>
    </row>
    <row r="2436">
      <c r="A2436" t="n">
        <v>2434</v>
      </c>
    </row>
    <row r="2437">
      <c r="A2437" t="n">
        <v>2435</v>
      </c>
    </row>
    <row r="2438">
      <c r="A2438" t="n">
        <v>2436</v>
      </c>
    </row>
    <row r="2439">
      <c r="A2439" t="n">
        <v>2437</v>
      </c>
    </row>
    <row r="2440">
      <c r="A2440" t="n">
        <v>2438</v>
      </c>
    </row>
    <row r="2441">
      <c r="A2441" t="n">
        <v>2439</v>
      </c>
    </row>
    <row r="2442">
      <c r="A2442" t="n">
        <v>2440</v>
      </c>
    </row>
    <row r="2443">
      <c r="A2443" t="n">
        <v>2441</v>
      </c>
    </row>
    <row r="2444">
      <c r="A2444" t="n">
        <v>2442</v>
      </c>
    </row>
    <row r="2445">
      <c r="A2445" t="n">
        <v>2443</v>
      </c>
    </row>
    <row r="2446">
      <c r="A2446" t="n">
        <v>2444</v>
      </c>
    </row>
    <row r="2447">
      <c r="A2447" t="n">
        <v>2445</v>
      </c>
    </row>
    <row r="2448">
      <c r="A2448" t="n">
        <v>2446</v>
      </c>
    </row>
    <row r="2449">
      <c r="A2449" t="n">
        <v>2447</v>
      </c>
    </row>
    <row r="2450">
      <c r="A2450" t="n">
        <v>2448</v>
      </c>
    </row>
    <row r="2451">
      <c r="A2451" t="n">
        <v>2449</v>
      </c>
    </row>
    <row r="2452">
      <c r="A2452" t="n">
        <v>2450</v>
      </c>
    </row>
    <row r="2453">
      <c r="A2453" t="n">
        <v>2451</v>
      </c>
    </row>
    <row r="2454">
      <c r="A2454" t="n">
        <v>2452</v>
      </c>
    </row>
    <row r="2455">
      <c r="A2455" t="n">
        <v>2453</v>
      </c>
    </row>
    <row r="2456">
      <c r="A2456" t="n">
        <v>2454</v>
      </c>
    </row>
    <row r="2457">
      <c r="A2457" t="n">
        <v>2455</v>
      </c>
    </row>
    <row r="2458">
      <c r="A2458" t="n">
        <v>2456</v>
      </c>
    </row>
    <row r="2459">
      <c r="A2459" t="n">
        <v>2457</v>
      </c>
    </row>
    <row r="2460">
      <c r="A2460" t="n">
        <v>2458</v>
      </c>
    </row>
    <row r="2461">
      <c r="A2461" t="n">
        <v>2459</v>
      </c>
    </row>
    <row r="2462">
      <c r="A2462" t="n">
        <v>2460</v>
      </c>
    </row>
    <row r="2463">
      <c r="A2463" t="n">
        <v>2461</v>
      </c>
    </row>
    <row r="2464">
      <c r="A2464" t="n">
        <v>2462</v>
      </c>
    </row>
    <row r="2465">
      <c r="A2465" t="n">
        <v>2463</v>
      </c>
    </row>
    <row r="2466">
      <c r="A2466" t="n">
        <v>2464</v>
      </c>
    </row>
    <row r="2467">
      <c r="A2467" t="n">
        <v>2465</v>
      </c>
    </row>
    <row r="2468">
      <c r="A2468" t="n">
        <v>2466</v>
      </c>
    </row>
    <row r="2469">
      <c r="A2469" t="n">
        <v>2467</v>
      </c>
    </row>
    <row r="2470">
      <c r="A2470" t="n">
        <v>2468</v>
      </c>
    </row>
    <row r="2471">
      <c r="A2471" t="n">
        <v>2469</v>
      </c>
    </row>
    <row r="2472">
      <c r="A2472" t="n">
        <v>2470</v>
      </c>
    </row>
    <row r="2473">
      <c r="A2473" t="n">
        <v>2471</v>
      </c>
    </row>
    <row r="2474">
      <c r="A2474" t="n">
        <v>2472</v>
      </c>
    </row>
    <row r="2475">
      <c r="A2475" t="n">
        <v>2473</v>
      </c>
    </row>
    <row r="2476">
      <c r="A2476" t="n">
        <v>2474</v>
      </c>
    </row>
    <row r="2477">
      <c r="A2477" t="n">
        <v>2475</v>
      </c>
    </row>
    <row r="2478">
      <c r="A2478" t="n">
        <v>2476</v>
      </c>
    </row>
    <row r="2479">
      <c r="A2479" t="n">
        <v>2477</v>
      </c>
    </row>
    <row r="2480">
      <c r="A2480" t="n">
        <v>2478</v>
      </c>
    </row>
    <row r="2481">
      <c r="A2481" t="n">
        <v>2479</v>
      </c>
    </row>
    <row r="2482">
      <c r="A2482" t="n">
        <v>2480</v>
      </c>
    </row>
    <row r="2483">
      <c r="A2483" t="n">
        <v>2481</v>
      </c>
    </row>
    <row r="2484">
      <c r="A2484" t="n">
        <v>2482</v>
      </c>
    </row>
    <row r="2485">
      <c r="A2485" t="n">
        <v>2483</v>
      </c>
    </row>
    <row r="2486">
      <c r="A2486" t="n">
        <v>2484</v>
      </c>
    </row>
    <row r="2487">
      <c r="A2487" t="n">
        <v>2485</v>
      </c>
    </row>
    <row r="2488">
      <c r="A2488" t="n">
        <v>2486</v>
      </c>
    </row>
    <row r="2489">
      <c r="A2489" t="n">
        <v>2487</v>
      </c>
    </row>
    <row r="2490">
      <c r="A2490" t="n">
        <v>2488</v>
      </c>
    </row>
    <row r="2491">
      <c r="A2491" t="n">
        <v>2489</v>
      </c>
    </row>
    <row r="2492">
      <c r="A2492" t="n">
        <v>2490</v>
      </c>
    </row>
    <row r="2493">
      <c r="A2493" t="n">
        <v>2491</v>
      </c>
    </row>
    <row r="2494">
      <c r="A2494" t="n">
        <v>2492</v>
      </c>
    </row>
    <row r="2495">
      <c r="A2495" t="n">
        <v>2493</v>
      </c>
    </row>
    <row r="2496">
      <c r="A2496" t="n">
        <v>2494</v>
      </c>
    </row>
    <row r="2497">
      <c r="A2497" t="n">
        <v>2495</v>
      </c>
    </row>
    <row r="2498">
      <c r="A2498" t="n">
        <v>2496</v>
      </c>
    </row>
    <row r="2499">
      <c r="A2499" t="n">
        <v>2497</v>
      </c>
    </row>
    <row r="2500">
      <c r="A2500" t="n">
        <v>2498</v>
      </c>
    </row>
    <row r="2501">
      <c r="A2501" t="n">
        <v>2499</v>
      </c>
    </row>
    <row r="2502">
      <c r="A2502" t="n">
        <v>2500</v>
      </c>
    </row>
    <row r="2503">
      <c r="A2503" t="n">
        <v>2501</v>
      </c>
    </row>
    <row r="2504">
      <c r="A2504" t="n">
        <v>2502</v>
      </c>
    </row>
    <row r="2505">
      <c r="A2505" t="n">
        <v>2503</v>
      </c>
    </row>
    <row r="2506">
      <c r="A2506" t="n">
        <v>2504</v>
      </c>
    </row>
    <row r="2507">
      <c r="A2507" t="n">
        <v>2505</v>
      </c>
    </row>
    <row r="2508">
      <c r="A2508" t="n">
        <v>2506</v>
      </c>
    </row>
    <row r="2509">
      <c r="A2509" t="n">
        <v>2507</v>
      </c>
    </row>
    <row r="2510">
      <c r="A2510" t="n">
        <v>2508</v>
      </c>
    </row>
    <row r="2511">
      <c r="A2511" t="n">
        <v>2509</v>
      </c>
    </row>
    <row r="2512">
      <c r="A2512" t="n">
        <v>2510</v>
      </c>
    </row>
    <row r="2513">
      <c r="A2513" t="n">
        <v>2511</v>
      </c>
    </row>
    <row r="2514">
      <c r="A2514" t="n">
        <v>2512</v>
      </c>
    </row>
    <row r="2515">
      <c r="A2515" t="n">
        <v>2513</v>
      </c>
    </row>
    <row r="2516">
      <c r="A2516" t="n">
        <v>2514</v>
      </c>
    </row>
    <row r="2517">
      <c r="A2517" t="n">
        <v>2515</v>
      </c>
    </row>
    <row r="2518">
      <c r="A2518" t="n">
        <v>2516</v>
      </c>
    </row>
    <row r="2519">
      <c r="A2519" t="n">
        <v>2517</v>
      </c>
    </row>
    <row r="2520">
      <c r="A2520" t="n">
        <v>2518</v>
      </c>
    </row>
    <row r="2521">
      <c r="A2521" t="n">
        <v>2519</v>
      </c>
    </row>
    <row r="2522">
      <c r="A2522" t="n">
        <v>2520</v>
      </c>
    </row>
    <row r="2523">
      <c r="A2523" t="n">
        <v>2521</v>
      </c>
    </row>
    <row r="2524">
      <c r="A2524" t="n">
        <v>2522</v>
      </c>
    </row>
    <row r="2525">
      <c r="A2525" t="n">
        <v>2523</v>
      </c>
    </row>
    <row r="2526">
      <c r="A2526" t="n">
        <v>2524</v>
      </c>
    </row>
    <row r="2527">
      <c r="A2527" t="n">
        <v>2525</v>
      </c>
    </row>
    <row r="2528">
      <c r="A2528" t="n">
        <v>2526</v>
      </c>
    </row>
    <row r="2529">
      <c r="A2529" t="n">
        <v>2527</v>
      </c>
    </row>
    <row r="2530">
      <c r="A2530" t="n">
        <v>2528</v>
      </c>
    </row>
    <row r="2531">
      <c r="A2531" t="n">
        <v>2529</v>
      </c>
    </row>
    <row r="2532">
      <c r="A2532" t="n">
        <v>2530</v>
      </c>
    </row>
    <row r="2533">
      <c r="A2533" t="n">
        <v>2531</v>
      </c>
    </row>
    <row r="2534">
      <c r="A2534" t="n">
        <v>2532</v>
      </c>
    </row>
    <row r="2535">
      <c r="A2535" t="n">
        <v>2533</v>
      </c>
    </row>
    <row r="2536">
      <c r="A2536" t="n">
        <v>2534</v>
      </c>
    </row>
    <row r="2537">
      <c r="A2537" t="n">
        <v>2535</v>
      </c>
    </row>
    <row r="2538">
      <c r="A2538" t="n">
        <v>2536</v>
      </c>
    </row>
    <row r="2539">
      <c r="A2539" t="n">
        <v>2537</v>
      </c>
    </row>
    <row r="2540">
      <c r="A2540" t="n">
        <v>2538</v>
      </c>
    </row>
    <row r="2541">
      <c r="A2541" t="n">
        <v>2539</v>
      </c>
    </row>
    <row r="2542">
      <c r="A2542" t="n">
        <v>2540</v>
      </c>
    </row>
    <row r="2543">
      <c r="A2543" t="n">
        <v>2541</v>
      </c>
    </row>
    <row r="2544">
      <c r="A2544" t="n">
        <v>2542</v>
      </c>
    </row>
    <row r="2545">
      <c r="A2545" t="n">
        <v>2543</v>
      </c>
    </row>
    <row r="2546">
      <c r="A2546" t="n">
        <v>2544</v>
      </c>
    </row>
    <row r="2547">
      <c r="A2547" t="n">
        <v>2545</v>
      </c>
    </row>
    <row r="2548">
      <c r="A2548" t="n">
        <v>2546</v>
      </c>
    </row>
    <row r="2549">
      <c r="A2549" t="n">
        <v>2547</v>
      </c>
    </row>
    <row r="2550">
      <c r="A2550" t="n">
        <v>2548</v>
      </c>
    </row>
    <row r="2551">
      <c r="A2551" t="n">
        <v>2549</v>
      </c>
    </row>
    <row r="2552">
      <c r="A2552" t="n">
        <v>2550</v>
      </c>
    </row>
    <row r="2553">
      <c r="A2553" t="n">
        <v>2551</v>
      </c>
    </row>
    <row r="2554">
      <c r="A2554" t="n">
        <v>2552</v>
      </c>
    </row>
    <row r="2555">
      <c r="A2555" t="n">
        <v>2553</v>
      </c>
    </row>
    <row r="2556">
      <c r="A2556" t="n">
        <v>2554</v>
      </c>
    </row>
    <row r="2557">
      <c r="A2557" t="n">
        <v>2555</v>
      </c>
    </row>
    <row r="2558">
      <c r="A2558" t="n">
        <v>2556</v>
      </c>
    </row>
    <row r="2559">
      <c r="A2559" t="n">
        <v>2557</v>
      </c>
    </row>
    <row r="2560">
      <c r="A2560" t="n">
        <v>2558</v>
      </c>
    </row>
    <row r="2561">
      <c r="A2561" t="n">
        <v>2559</v>
      </c>
    </row>
    <row r="2562">
      <c r="A2562" t="n">
        <v>2560</v>
      </c>
    </row>
    <row r="2563">
      <c r="A2563" t="n">
        <v>2561</v>
      </c>
    </row>
    <row r="2564">
      <c r="A2564" t="n">
        <v>2562</v>
      </c>
    </row>
    <row r="2565">
      <c r="A2565" t="n">
        <v>2563</v>
      </c>
    </row>
    <row r="2566">
      <c r="A2566" t="n">
        <v>2564</v>
      </c>
    </row>
    <row r="2567">
      <c r="A2567" t="n">
        <v>2565</v>
      </c>
    </row>
    <row r="2568">
      <c r="A2568" t="n">
        <v>2566</v>
      </c>
    </row>
    <row r="2569">
      <c r="A2569" t="n">
        <v>2567</v>
      </c>
    </row>
    <row r="2570">
      <c r="A2570" t="n">
        <v>2568</v>
      </c>
    </row>
    <row r="2571">
      <c r="A2571" t="n">
        <v>2569</v>
      </c>
    </row>
    <row r="2572">
      <c r="A2572" t="n">
        <v>2570</v>
      </c>
    </row>
    <row r="2573">
      <c r="A2573" t="n">
        <v>2571</v>
      </c>
    </row>
    <row r="2574">
      <c r="A2574" t="n">
        <v>2572</v>
      </c>
    </row>
    <row r="2575">
      <c r="A2575" t="n">
        <v>2573</v>
      </c>
    </row>
    <row r="2576">
      <c r="A2576" t="n">
        <v>2574</v>
      </c>
    </row>
    <row r="2577">
      <c r="A2577" t="n">
        <v>2575</v>
      </c>
    </row>
    <row r="2578">
      <c r="A2578" t="n">
        <v>2576</v>
      </c>
    </row>
    <row r="2579">
      <c r="A2579" t="n">
        <v>2577</v>
      </c>
    </row>
    <row r="2580">
      <c r="A2580" t="n">
        <v>2578</v>
      </c>
    </row>
    <row r="2581">
      <c r="A2581" t="n">
        <v>2579</v>
      </c>
    </row>
    <row r="2582">
      <c r="A2582" t="n">
        <v>2580</v>
      </c>
    </row>
    <row r="2583">
      <c r="A2583" t="n">
        <v>2581</v>
      </c>
    </row>
    <row r="2584">
      <c r="A2584" t="n">
        <v>2582</v>
      </c>
    </row>
    <row r="2585">
      <c r="A2585" t="n">
        <v>2583</v>
      </c>
    </row>
    <row r="2586">
      <c r="A2586" t="n">
        <v>2584</v>
      </c>
    </row>
    <row r="2587">
      <c r="A2587" t="n">
        <v>2585</v>
      </c>
    </row>
    <row r="2588">
      <c r="A2588" t="n">
        <v>2586</v>
      </c>
    </row>
    <row r="2589">
      <c r="A2589" t="n">
        <v>2587</v>
      </c>
    </row>
    <row r="2590">
      <c r="A2590" t="n">
        <v>2588</v>
      </c>
    </row>
    <row r="2591">
      <c r="A2591" t="n">
        <v>2589</v>
      </c>
    </row>
    <row r="2592">
      <c r="A2592" t="n">
        <v>2590</v>
      </c>
    </row>
    <row r="2593">
      <c r="A2593" t="n">
        <v>2591</v>
      </c>
    </row>
    <row r="2594">
      <c r="A2594" t="n">
        <v>2592</v>
      </c>
    </row>
    <row r="2595">
      <c r="A2595" t="n">
        <v>2593</v>
      </c>
    </row>
    <row r="2596">
      <c r="A2596" t="n">
        <v>2594</v>
      </c>
    </row>
    <row r="2597">
      <c r="A2597" t="n">
        <v>2595</v>
      </c>
    </row>
    <row r="2598">
      <c r="A2598" t="n">
        <v>2596</v>
      </c>
    </row>
    <row r="2599">
      <c r="A2599" t="n">
        <v>2597</v>
      </c>
    </row>
    <row r="2600">
      <c r="A2600" t="n">
        <v>2598</v>
      </c>
    </row>
    <row r="2601">
      <c r="A2601" t="n">
        <v>2599</v>
      </c>
    </row>
    <row r="2602">
      <c r="A2602" t="n">
        <v>2600</v>
      </c>
    </row>
    <row r="2603">
      <c r="A2603" t="n">
        <v>2601</v>
      </c>
    </row>
    <row r="2604">
      <c r="A2604" t="n">
        <v>2602</v>
      </c>
    </row>
    <row r="2605">
      <c r="A2605" t="n">
        <v>2603</v>
      </c>
    </row>
    <row r="2606">
      <c r="A2606" t="n">
        <v>2604</v>
      </c>
    </row>
    <row r="2607">
      <c r="A2607" t="n">
        <v>2605</v>
      </c>
    </row>
    <row r="2608">
      <c r="A2608" t="n">
        <v>2606</v>
      </c>
    </row>
    <row r="2609">
      <c r="A2609" t="n">
        <v>2607</v>
      </c>
    </row>
    <row r="2610">
      <c r="A2610" t="n">
        <v>2608</v>
      </c>
    </row>
    <row r="2611">
      <c r="A2611" t="n">
        <v>2609</v>
      </c>
    </row>
    <row r="2612">
      <c r="A2612" t="n">
        <v>2610</v>
      </c>
    </row>
    <row r="2613">
      <c r="A2613" t="n">
        <v>2611</v>
      </c>
    </row>
    <row r="2614">
      <c r="A2614" t="n">
        <v>2612</v>
      </c>
    </row>
    <row r="2615">
      <c r="A2615" t="n">
        <v>2613</v>
      </c>
    </row>
    <row r="2616">
      <c r="A2616" t="n">
        <v>2614</v>
      </c>
    </row>
    <row r="2617">
      <c r="A2617" t="n">
        <v>2615</v>
      </c>
    </row>
    <row r="2618">
      <c r="A2618" t="n">
        <v>2616</v>
      </c>
    </row>
    <row r="2619">
      <c r="A2619" t="n">
        <v>2617</v>
      </c>
    </row>
    <row r="2620">
      <c r="A2620" t="n">
        <v>2618</v>
      </c>
    </row>
    <row r="2621">
      <c r="A2621" t="n">
        <v>2619</v>
      </c>
    </row>
    <row r="2622">
      <c r="A2622" t="n">
        <v>2620</v>
      </c>
    </row>
    <row r="2623">
      <c r="A2623" t="n">
        <v>2621</v>
      </c>
    </row>
    <row r="2624">
      <c r="A2624" t="n">
        <v>2622</v>
      </c>
    </row>
    <row r="2625">
      <c r="A2625" t="n">
        <v>2623</v>
      </c>
    </row>
    <row r="2626">
      <c r="A2626" t="n">
        <v>2624</v>
      </c>
    </row>
    <row r="2627">
      <c r="A2627" t="n">
        <v>2625</v>
      </c>
    </row>
    <row r="2628">
      <c r="A2628" t="n">
        <v>2626</v>
      </c>
    </row>
    <row r="2629">
      <c r="A2629" t="n">
        <v>2627</v>
      </c>
    </row>
    <row r="2630">
      <c r="A2630" t="n">
        <v>2628</v>
      </c>
    </row>
    <row r="2631">
      <c r="A2631" t="n">
        <v>2629</v>
      </c>
    </row>
    <row r="2632">
      <c r="A2632" t="n">
        <v>2630</v>
      </c>
    </row>
    <row r="2633">
      <c r="A2633" t="n">
        <v>2631</v>
      </c>
    </row>
    <row r="2634">
      <c r="A2634" t="n">
        <v>2632</v>
      </c>
    </row>
    <row r="2635">
      <c r="A2635" t="n">
        <v>2633</v>
      </c>
    </row>
    <row r="2636">
      <c r="A2636" t="n">
        <v>2634</v>
      </c>
    </row>
    <row r="2637">
      <c r="A2637" t="n">
        <v>2635</v>
      </c>
    </row>
    <row r="2638">
      <c r="A2638" t="n">
        <v>2636</v>
      </c>
    </row>
    <row r="2639">
      <c r="A2639" t="n">
        <v>2637</v>
      </c>
    </row>
    <row r="2640">
      <c r="A2640" t="n">
        <v>2638</v>
      </c>
    </row>
    <row r="2641">
      <c r="A2641" t="n">
        <v>2639</v>
      </c>
    </row>
    <row r="2642">
      <c r="A2642" t="n">
        <v>2640</v>
      </c>
    </row>
    <row r="2643">
      <c r="A2643" t="n">
        <v>2641</v>
      </c>
    </row>
    <row r="2644">
      <c r="A2644" t="n">
        <v>2642</v>
      </c>
    </row>
    <row r="2645">
      <c r="A2645" t="n">
        <v>2643</v>
      </c>
    </row>
    <row r="2646">
      <c r="A2646" t="n">
        <v>2644</v>
      </c>
    </row>
    <row r="2647">
      <c r="A2647" t="n">
        <v>2645</v>
      </c>
    </row>
    <row r="2648">
      <c r="A2648" t="n">
        <v>2646</v>
      </c>
    </row>
    <row r="2649">
      <c r="A2649" t="n">
        <v>2647</v>
      </c>
    </row>
    <row r="2650">
      <c r="A2650" t="n">
        <v>2648</v>
      </c>
    </row>
    <row r="2651">
      <c r="A2651" t="n">
        <v>2649</v>
      </c>
    </row>
    <row r="2652">
      <c r="A2652" t="n">
        <v>2650</v>
      </c>
    </row>
    <row r="2653">
      <c r="A2653" t="n">
        <v>2651</v>
      </c>
    </row>
    <row r="2654">
      <c r="A2654" t="n">
        <v>2652</v>
      </c>
    </row>
    <row r="2655">
      <c r="A2655" t="n">
        <v>2653</v>
      </c>
    </row>
    <row r="2656">
      <c r="A2656" t="n">
        <v>2654</v>
      </c>
    </row>
    <row r="2657">
      <c r="A2657" t="n">
        <v>2655</v>
      </c>
    </row>
    <row r="2658">
      <c r="A2658" t="n">
        <v>2656</v>
      </c>
    </row>
    <row r="2659">
      <c r="A2659" t="n">
        <v>2657</v>
      </c>
    </row>
    <row r="2660">
      <c r="A2660" t="n">
        <v>2658</v>
      </c>
    </row>
    <row r="2661">
      <c r="A2661" t="n">
        <v>2659</v>
      </c>
    </row>
    <row r="2662">
      <c r="A2662" t="n">
        <v>2660</v>
      </c>
    </row>
    <row r="2663">
      <c r="A2663" t="n">
        <v>2661</v>
      </c>
    </row>
    <row r="2664">
      <c r="A2664" t="n">
        <v>2662</v>
      </c>
    </row>
    <row r="2665">
      <c r="A2665" t="n">
        <v>2663</v>
      </c>
    </row>
    <row r="2666">
      <c r="A2666" t="n">
        <v>2664</v>
      </c>
    </row>
    <row r="2667">
      <c r="A2667" t="n">
        <v>2665</v>
      </c>
    </row>
    <row r="2668">
      <c r="A2668" t="n">
        <v>2666</v>
      </c>
    </row>
    <row r="2669">
      <c r="A2669" t="n">
        <v>2667</v>
      </c>
    </row>
    <row r="2670">
      <c r="A2670" t="n">
        <v>2668</v>
      </c>
    </row>
    <row r="2671">
      <c r="A2671" t="n">
        <v>2669</v>
      </c>
    </row>
    <row r="2672">
      <c r="A2672" t="n">
        <v>2670</v>
      </c>
    </row>
    <row r="2673">
      <c r="A2673" t="n">
        <v>2671</v>
      </c>
    </row>
    <row r="2674">
      <c r="A2674" t="n">
        <v>2672</v>
      </c>
    </row>
    <row r="2675">
      <c r="A2675" t="n">
        <v>2673</v>
      </c>
    </row>
    <row r="2676">
      <c r="A2676" t="n">
        <v>2674</v>
      </c>
    </row>
    <row r="2677">
      <c r="A2677" t="n">
        <v>2675</v>
      </c>
    </row>
    <row r="2678">
      <c r="A2678" t="n">
        <v>2676</v>
      </c>
    </row>
    <row r="2679">
      <c r="A2679" t="n">
        <v>2677</v>
      </c>
    </row>
    <row r="2680">
      <c r="A2680" t="n">
        <v>2678</v>
      </c>
    </row>
    <row r="2681">
      <c r="A2681" t="n">
        <v>2679</v>
      </c>
    </row>
    <row r="2682">
      <c r="A2682" t="n">
        <v>2680</v>
      </c>
    </row>
    <row r="2683">
      <c r="A2683" t="n">
        <v>2681</v>
      </c>
    </row>
    <row r="2684">
      <c r="A2684" t="n">
        <v>2682</v>
      </c>
    </row>
    <row r="2685">
      <c r="A2685" t="n">
        <v>2683</v>
      </c>
    </row>
    <row r="2686">
      <c r="A2686" t="n">
        <v>2684</v>
      </c>
    </row>
    <row r="2687">
      <c r="A2687" t="n">
        <v>2685</v>
      </c>
    </row>
    <row r="2688">
      <c r="A2688" t="n">
        <v>2686</v>
      </c>
    </row>
    <row r="2689">
      <c r="A2689" t="n">
        <v>2687</v>
      </c>
    </row>
    <row r="2690">
      <c r="A2690" t="n">
        <v>2688</v>
      </c>
    </row>
    <row r="2691">
      <c r="A2691" t="n">
        <v>2689</v>
      </c>
    </row>
    <row r="2692">
      <c r="A2692" t="n">
        <v>2690</v>
      </c>
    </row>
    <row r="2693">
      <c r="A2693" t="n">
        <v>2691</v>
      </c>
    </row>
    <row r="2694">
      <c r="A2694" t="n">
        <v>2692</v>
      </c>
    </row>
    <row r="2695">
      <c r="A2695" t="n">
        <v>2693</v>
      </c>
    </row>
    <row r="2696">
      <c r="A2696" t="n">
        <v>2694</v>
      </c>
    </row>
    <row r="2697">
      <c r="A2697" t="n">
        <v>2695</v>
      </c>
    </row>
    <row r="2698">
      <c r="A2698" t="n">
        <v>2696</v>
      </c>
    </row>
    <row r="2699">
      <c r="A2699" t="n">
        <v>2697</v>
      </c>
    </row>
    <row r="2700">
      <c r="A2700" t="n">
        <v>2698</v>
      </c>
    </row>
    <row r="2701">
      <c r="A2701" t="n">
        <v>2699</v>
      </c>
    </row>
    <row r="2702">
      <c r="A2702" t="n">
        <v>2700</v>
      </c>
    </row>
    <row r="2703">
      <c r="A2703" t="n">
        <v>2701</v>
      </c>
    </row>
    <row r="2704">
      <c r="A2704" t="n">
        <v>2702</v>
      </c>
    </row>
    <row r="2705">
      <c r="A2705" t="n">
        <v>2703</v>
      </c>
    </row>
    <row r="2706">
      <c r="A2706" t="n">
        <v>2704</v>
      </c>
    </row>
    <row r="2707">
      <c r="A2707" t="n">
        <v>2705</v>
      </c>
    </row>
    <row r="2708">
      <c r="A2708" t="n">
        <v>2706</v>
      </c>
    </row>
    <row r="2709">
      <c r="A2709" t="n">
        <v>2707</v>
      </c>
    </row>
    <row r="2710">
      <c r="A2710" t="n">
        <v>2708</v>
      </c>
    </row>
    <row r="2711">
      <c r="A2711" t="n">
        <v>2709</v>
      </c>
    </row>
    <row r="2712">
      <c r="A2712" t="n">
        <v>2710</v>
      </c>
    </row>
    <row r="2713">
      <c r="A2713" t="n">
        <v>2711</v>
      </c>
    </row>
    <row r="2714">
      <c r="A2714" t="n">
        <v>2712</v>
      </c>
    </row>
    <row r="2715">
      <c r="A2715" t="n">
        <v>2713</v>
      </c>
    </row>
    <row r="2716">
      <c r="A2716" t="n">
        <v>2714</v>
      </c>
    </row>
    <row r="2717">
      <c r="A2717" t="n">
        <v>2715</v>
      </c>
    </row>
    <row r="2718">
      <c r="A2718" t="n">
        <v>2716</v>
      </c>
    </row>
    <row r="2719">
      <c r="A2719" t="n">
        <v>2717</v>
      </c>
    </row>
    <row r="2720">
      <c r="A2720" t="n">
        <v>2718</v>
      </c>
    </row>
    <row r="2721">
      <c r="A2721" t="n">
        <v>2719</v>
      </c>
    </row>
    <row r="2722">
      <c r="A2722" t="n">
        <v>2720</v>
      </c>
    </row>
    <row r="2723">
      <c r="A2723" t="n">
        <v>2721</v>
      </c>
    </row>
    <row r="2724">
      <c r="A2724" t="n">
        <v>2722</v>
      </c>
    </row>
    <row r="2725">
      <c r="A2725" t="n">
        <v>2723</v>
      </c>
    </row>
    <row r="2726">
      <c r="A2726" t="n">
        <v>2724</v>
      </c>
    </row>
    <row r="2727">
      <c r="A2727" t="n">
        <v>2725</v>
      </c>
    </row>
    <row r="2728">
      <c r="A2728" t="n">
        <v>2726</v>
      </c>
    </row>
    <row r="2729">
      <c r="A2729" t="n">
        <v>2727</v>
      </c>
    </row>
    <row r="2730">
      <c r="A2730" t="n">
        <v>2728</v>
      </c>
    </row>
    <row r="2731">
      <c r="A2731" t="n">
        <v>2729</v>
      </c>
    </row>
    <row r="2732">
      <c r="A2732" t="n">
        <v>2730</v>
      </c>
    </row>
    <row r="2733">
      <c r="A2733" t="n">
        <v>2731</v>
      </c>
    </row>
    <row r="2734">
      <c r="A2734" t="n">
        <v>2732</v>
      </c>
    </row>
    <row r="2735">
      <c r="A2735" t="n">
        <v>2733</v>
      </c>
    </row>
    <row r="2736">
      <c r="A2736" t="n">
        <v>2734</v>
      </c>
    </row>
    <row r="2737">
      <c r="A2737" t="n">
        <v>2735</v>
      </c>
    </row>
    <row r="2738">
      <c r="A2738" t="n">
        <v>2736</v>
      </c>
    </row>
    <row r="2739">
      <c r="A2739" t="n">
        <v>2737</v>
      </c>
    </row>
    <row r="2740">
      <c r="A2740" t="n">
        <v>2738</v>
      </c>
    </row>
    <row r="2741">
      <c r="A2741" t="n">
        <v>2739</v>
      </c>
    </row>
    <row r="2742">
      <c r="A2742" t="n">
        <v>2740</v>
      </c>
    </row>
    <row r="2743">
      <c r="A2743" t="n">
        <v>2741</v>
      </c>
    </row>
    <row r="2744">
      <c r="A2744" t="n">
        <v>2742</v>
      </c>
    </row>
    <row r="2745">
      <c r="A2745" t="n">
        <v>2743</v>
      </c>
    </row>
    <row r="2746">
      <c r="A2746" t="n">
        <v>2744</v>
      </c>
    </row>
    <row r="2747">
      <c r="A2747" t="n">
        <v>2745</v>
      </c>
    </row>
    <row r="2748">
      <c r="A2748" t="n">
        <v>2746</v>
      </c>
    </row>
    <row r="2749">
      <c r="A2749" t="n">
        <v>2747</v>
      </c>
    </row>
    <row r="2750">
      <c r="A2750" t="n">
        <v>2748</v>
      </c>
    </row>
    <row r="2751">
      <c r="A2751" t="n">
        <v>2749</v>
      </c>
    </row>
    <row r="2752">
      <c r="A2752" t="n">
        <v>2750</v>
      </c>
    </row>
    <row r="2753">
      <c r="A2753" t="n">
        <v>2751</v>
      </c>
    </row>
    <row r="2754">
      <c r="A2754" t="n">
        <v>2752</v>
      </c>
    </row>
    <row r="2755">
      <c r="A2755" t="n">
        <v>2753</v>
      </c>
    </row>
    <row r="2756">
      <c r="A2756" t="n">
        <v>2754</v>
      </c>
    </row>
    <row r="2757">
      <c r="A2757" t="n">
        <v>2755</v>
      </c>
    </row>
    <row r="2758">
      <c r="A2758" t="n">
        <v>2756</v>
      </c>
    </row>
    <row r="2759">
      <c r="A2759" t="n">
        <v>2757</v>
      </c>
    </row>
    <row r="2760">
      <c r="A2760" t="n">
        <v>2758</v>
      </c>
    </row>
    <row r="2761">
      <c r="A2761" t="n">
        <v>2759</v>
      </c>
    </row>
    <row r="2762">
      <c r="A2762" t="n">
        <v>2760</v>
      </c>
    </row>
    <row r="2763">
      <c r="A2763" t="n">
        <v>2761</v>
      </c>
    </row>
    <row r="2764">
      <c r="A2764" t="n">
        <v>2762</v>
      </c>
    </row>
    <row r="2765">
      <c r="A2765" t="n">
        <v>2763</v>
      </c>
    </row>
    <row r="2766">
      <c r="A2766" t="n">
        <v>2764</v>
      </c>
    </row>
    <row r="2767">
      <c r="A2767" t="n">
        <v>2765</v>
      </c>
    </row>
    <row r="2768">
      <c r="A2768" t="n">
        <v>2766</v>
      </c>
    </row>
    <row r="2769">
      <c r="A2769" t="n">
        <v>2767</v>
      </c>
    </row>
    <row r="2770">
      <c r="A2770" t="n">
        <v>2768</v>
      </c>
    </row>
    <row r="2771">
      <c r="A2771" t="n">
        <v>2769</v>
      </c>
    </row>
    <row r="2772">
      <c r="A2772" t="n">
        <v>2770</v>
      </c>
    </row>
    <row r="2773">
      <c r="A2773" t="n">
        <v>2771</v>
      </c>
    </row>
    <row r="2774">
      <c r="A2774" t="n">
        <v>2772</v>
      </c>
    </row>
    <row r="2775">
      <c r="A2775" t="n">
        <v>2773</v>
      </c>
    </row>
    <row r="2776">
      <c r="A2776" t="n">
        <v>2774</v>
      </c>
    </row>
    <row r="2777">
      <c r="A2777" t="n">
        <v>2775</v>
      </c>
    </row>
    <row r="2778">
      <c r="A2778" t="n">
        <v>2776</v>
      </c>
    </row>
    <row r="2779">
      <c r="A2779" t="n">
        <v>2777</v>
      </c>
    </row>
    <row r="2780">
      <c r="A2780" t="n">
        <v>2778</v>
      </c>
    </row>
    <row r="2781">
      <c r="A2781" t="n">
        <v>2779</v>
      </c>
    </row>
    <row r="2782">
      <c r="A2782" t="n">
        <v>2780</v>
      </c>
    </row>
    <row r="2783">
      <c r="A2783" t="n">
        <v>2781</v>
      </c>
    </row>
    <row r="2784">
      <c r="A2784" t="n">
        <v>2782</v>
      </c>
    </row>
    <row r="2785">
      <c r="A2785" t="n">
        <v>2783</v>
      </c>
    </row>
    <row r="2786">
      <c r="A2786" t="n">
        <v>2784</v>
      </c>
    </row>
    <row r="2787">
      <c r="A2787" t="n">
        <v>2785</v>
      </c>
    </row>
    <row r="2788">
      <c r="A2788" t="n">
        <v>2786</v>
      </c>
    </row>
    <row r="2789">
      <c r="A2789" t="n">
        <v>2787</v>
      </c>
    </row>
    <row r="2790">
      <c r="A2790" t="n">
        <v>2788</v>
      </c>
    </row>
    <row r="2791">
      <c r="A2791" t="n">
        <v>2789</v>
      </c>
    </row>
    <row r="2792">
      <c r="A2792" t="n">
        <v>2790</v>
      </c>
    </row>
    <row r="2793">
      <c r="A2793" t="n">
        <v>2791</v>
      </c>
    </row>
    <row r="2794">
      <c r="A2794" t="n">
        <v>2792</v>
      </c>
    </row>
    <row r="2795">
      <c r="A2795" t="n">
        <v>2793</v>
      </c>
    </row>
    <row r="2796">
      <c r="A2796" t="n">
        <v>2794</v>
      </c>
    </row>
    <row r="2797">
      <c r="A2797" t="n">
        <v>2795</v>
      </c>
    </row>
    <row r="2798">
      <c r="A2798" t="n">
        <v>2796</v>
      </c>
    </row>
    <row r="2799">
      <c r="A2799" t="n">
        <v>2797</v>
      </c>
    </row>
    <row r="2800">
      <c r="A2800" t="n">
        <v>2798</v>
      </c>
    </row>
    <row r="2801">
      <c r="A2801" t="n">
        <v>2799</v>
      </c>
    </row>
    <row r="2802">
      <c r="A2802" t="n">
        <v>2800</v>
      </c>
    </row>
    <row r="2803">
      <c r="A2803" t="n">
        <v>2801</v>
      </c>
    </row>
    <row r="2804">
      <c r="A2804" t="n">
        <v>2802</v>
      </c>
    </row>
    <row r="2805">
      <c r="A2805" t="n">
        <v>2803</v>
      </c>
    </row>
    <row r="2806">
      <c r="A2806" t="n">
        <v>2804</v>
      </c>
    </row>
    <row r="2807">
      <c r="A2807" t="n">
        <v>2805</v>
      </c>
    </row>
    <row r="2808">
      <c r="A2808" t="n">
        <v>2806</v>
      </c>
    </row>
    <row r="2809">
      <c r="A2809" t="n">
        <v>2807</v>
      </c>
    </row>
    <row r="2810">
      <c r="A2810" t="n">
        <v>2808</v>
      </c>
    </row>
    <row r="2811">
      <c r="A2811" t="n">
        <v>2809</v>
      </c>
    </row>
    <row r="2812">
      <c r="A2812" t="n">
        <v>2810</v>
      </c>
    </row>
    <row r="2813">
      <c r="A2813" t="n">
        <v>2811</v>
      </c>
    </row>
    <row r="2814">
      <c r="A2814" t="n">
        <v>2812</v>
      </c>
    </row>
    <row r="2815">
      <c r="A2815" t="n">
        <v>2813</v>
      </c>
    </row>
    <row r="2816">
      <c r="A2816" t="n">
        <v>2814</v>
      </c>
    </row>
    <row r="2817">
      <c r="A2817" t="n">
        <v>2815</v>
      </c>
    </row>
    <row r="2818">
      <c r="A2818" t="n">
        <v>2816</v>
      </c>
    </row>
    <row r="2819">
      <c r="A2819" t="n">
        <v>2817</v>
      </c>
    </row>
    <row r="2820">
      <c r="A2820" t="n">
        <v>2818</v>
      </c>
    </row>
    <row r="2821">
      <c r="A2821" t="n">
        <v>2819</v>
      </c>
    </row>
    <row r="2822">
      <c r="A2822" t="n">
        <v>2820</v>
      </c>
    </row>
    <row r="2823">
      <c r="A2823" t="n">
        <v>2821</v>
      </c>
    </row>
    <row r="2824">
      <c r="A2824" t="n">
        <v>2822</v>
      </c>
    </row>
    <row r="2825">
      <c r="A2825" t="n">
        <v>2823</v>
      </c>
    </row>
    <row r="2826">
      <c r="A2826" t="n">
        <v>2824</v>
      </c>
    </row>
    <row r="2827">
      <c r="A2827" t="n">
        <v>2825</v>
      </c>
    </row>
    <row r="2828">
      <c r="A2828" t="n">
        <v>2826</v>
      </c>
    </row>
    <row r="2829">
      <c r="A2829" t="n">
        <v>2827</v>
      </c>
    </row>
    <row r="2830">
      <c r="A2830" t="n">
        <v>2828</v>
      </c>
    </row>
    <row r="2831">
      <c r="A2831" t="n">
        <v>2829</v>
      </c>
    </row>
    <row r="2832">
      <c r="A2832" t="n">
        <v>2830</v>
      </c>
    </row>
    <row r="2833">
      <c r="A2833" t="n">
        <v>2831</v>
      </c>
    </row>
    <row r="2834">
      <c r="A2834" t="n">
        <v>2832</v>
      </c>
    </row>
    <row r="2835">
      <c r="A2835" t="n">
        <v>2833</v>
      </c>
    </row>
    <row r="2836">
      <c r="A2836" t="n">
        <v>2834</v>
      </c>
    </row>
    <row r="2837">
      <c r="A2837" t="n">
        <v>2835</v>
      </c>
    </row>
    <row r="2838">
      <c r="A2838" t="n">
        <v>2836</v>
      </c>
    </row>
    <row r="2839">
      <c r="A2839" t="n">
        <v>2837</v>
      </c>
    </row>
    <row r="2840">
      <c r="A2840" t="n">
        <v>2838</v>
      </c>
    </row>
    <row r="2841">
      <c r="A2841" t="n">
        <v>2839</v>
      </c>
    </row>
    <row r="2842">
      <c r="A2842" t="n">
        <v>2840</v>
      </c>
    </row>
    <row r="2843">
      <c r="A2843" t="n">
        <v>2841</v>
      </c>
    </row>
    <row r="2844">
      <c r="A2844" t="n">
        <v>2842</v>
      </c>
    </row>
    <row r="2845">
      <c r="A2845" t="n">
        <v>2843</v>
      </c>
    </row>
    <row r="2846">
      <c r="A2846" t="n">
        <v>2844</v>
      </c>
    </row>
    <row r="2847">
      <c r="A2847" t="n">
        <v>2845</v>
      </c>
    </row>
    <row r="2848">
      <c r="A2848" t="n">
        <v>2846</v>
      </c>
    </row>
    <row r="2849">
      <c r="A2849" t="n">
        <v>2847</v>
      </c>
    </row>
    <row r="2850">
      <c r="A2850" t="n">
        <v>2848</v>
      </c>
    </row>
    <row r="2851">
      <c r="A2851" t="n">
        <v>2849</v>
      </c>
    </row>
    <row r="2852">
      <c r="A2852" t="n">
        <v>2850</v>
      </c>
    </row>
    <row r="2853">
      <c r="A2853" t="n">
        <v>2851</v>
      </c>
    </row>
    <row r="2854">
      <c r="A2854" t="n">
        <v>2852</v>
      </c>
    </row>
    <row r="2855">
      <c r="A2855" t="n">
        <v>2853</v>
      </c>
    </row>
    <row r="2856">
      <c r="A2856" t="n">
        <v>2854</v>
      </c>
    </row>
    <row r="2857">
      <c r="A2857" t="n">
        <v>2855</v>
      </c>
    </row>
    <row r="2858">
      <c r="A2858" t="n">
        <v>2856</v>
      </c>
    </row>
    <row r="2859">
      <c r="A2859" t="n">
        <v>2857</v>
      </c>
    </row>
    <row r="2860">
      <c r="A2860" t="n">
        <v>2858</v>
      </c>
    </row>
    <row r="2861">
      <c r="A2861" t="n">
        <v>2859</v>
      </c>
    </row>
    <row r="2862">
      <c r="A2862" t="n">
        <v>2860</v>
      </c>
    </row>
    <row r="2863">
      <c r="A2863" t="n">
        <v>2861</v>
      </c>
    </row>
    <row r="2864">
      <c r="A2864" t="n">
        <v>2862</v>
      </c>
    </row>
    <row r="2865">
      <c r="A2865" t="n">
        <v>2863</v>
      </c>
    </row>
    <row r="2866">
      <c r="A2866" t="n">
        <v>2864</v>
      </c>
    </row>
    <row r="2867">
      <c r="A2867" t="n">
        <v>2865</v>
      </c>
    </row>
    <row r="2868">
      <c r="A2868" t="n">
        <v>2866</v>
      </c>
    </row>
    <row r="2869">
      <c r="A2869" t="n">
        <v>2867</v>
      </c>
    </row>
    <row r="2870">
      <c r="A2870" t="n">
        <v>2868</v>
      </c>
    </row>
    <row r="2871">
      <c r="A2871" t="n">
        <v>2869</v>
      </c>
    </row>
    <row r="2872">
      <c r="A2872" t="n">
        <v>2870</v>
      </c>
    </row>
    <row r="2873">
      <c r="A2873" t="n">
        <v>2871</v>
      </c>
    </row>
    <row r="2874">
      <c r="A2874" t="n">
        <v>2872</v>
      </c>
    </row>
    <row r="2875">
      <c r="A2875" t="n">
        <v>2873</v>
      </c>
    </row>
    <row r="2876">
      <c r="A2876" t="n">
        <v>2874</v>
      </c>
    </row>
    <row r="2877">
      <c r="A2877" t="n">
        <v>2875</v>
      </c>
    </row>
    <row r="2878">
      <c r="A2878" t="n">
        <v>2876</v>
      </c>
    </row>
    <row r="2879">
      <c r="A2879" t="n">
        <v>2877</v>
      </c>
    </row>
    <row r="2880">
      <c r="A2880" t="n">
        <v>2878</v>
      </c>
    </row>
    <row r="2881">
      <c r="A2881" t="n">
        <v>2879</v>
      </c>
    </row>
    <row r="2882">
      <c r="A2882" t="n">
        <v>2880</v>
      </c>
    </row>
    <row r="2883">
      <c r="A2883" t="n">
        <v>2881</v>
      </c>
    </row>
    <row r="2884">
      <c r="A2884" t="n">
        <v>2882</v>
      </c>
    </row>
    <row r="2885">
      <c r="A2885" t="n">
        <v>2883</v>
      </c>
    </row>
    <row r="2886">
      <c r="A2886" t="n">
        <v>2884</v>
      </c>
    </row>
    <row r="2887">
      <c r="A2887" t="n">
        <v>2885</v>
      </c>
    </row>
    <row r="2888">
      <c r="A2888" t="n">
        <v>2886</v>
      </c>
    </row>
    <row r="2889">
      <c r="A2889" t="n">
        <v>2887</v>
      </c>
    </row>
    <row r="2890">
      <c r="A2890" t="n">
        <v>2888</v>
      </c>
    </row>
    <row r="2891">
      <c r="A2891" t="n">
        <v>2889</v>
      </c>
    </row>
    <row r="2892">
      <c r="A2892" t="n">
        <v>2890</v>
      </c>
    </row>
    <row r="2893">
      <c r="A2893" t="n">
        <v>2891</v>
      </c>
    </row>
    <row r="2894">
      <c r="A2894" t="n">
        <v>2892</v>
      </c>
    </row>
    <row r="2895">
      <c r="A2895" t="n">
        <v>2893</v>
      </c>
    </row>
    <row r="2896">
      <c r="A2896" t="n">
        <v>2894</v>
      </c>
    </row>
    <row r="2897">
      <c r="A2897" t="n">
        <v>2895</v>
      </c>
    </row>
    <row r="2898">
      <c r="A2898" t="n">
        <v>2896</v>
      </c>
    </row>
    <row r="2899">
      <c r="A2899" t="n">
        <v>2897</v>
      </c>
    </row>
    <row r="2900">
      <c r="A2900" t="n">
        <v>2898</v>
      </c>
    </row>
    <row r="2901">
      <c r="A2901" t="n">
        <v>2899</v>
      </c>
    </row>
    <row r="2902">
      <c r="A2902" t="n">
        <v>2900</v>
      </c>
    </row>
    <row r="2903">
      <c r="A2903" t="n">
        <v>2901</v>
      </c>
    </row>
    <row r="2904">
      <c r="A2904" t="n">
        <v>2902</v>
      </c>
    </row>
    <row r="2905">
      <c r="A2905" t="n">
        <v>2903</v>
      </c>
    </row>
    <row r="2906">
      <c r="A2906" t="n">
        <v>2904</v>
      </c>
    </row>
    <row r="2907">
      <c r="A2907" t="n">
        <v>2905</v>
      </c>
    </row>
    <row r="2908">
      <c r="A2908" t="n">
        <v>2906</v>
      </c>
    </row>
    <row r="2909">
      <c r="A2909" t="n">
        <v>2907</v>
      </c>
    </row>
    <row r="2910">
      <c r="A2910" t="n">
        <v>2908</v>
      </c>
    </row>
    <row r="2911">
      <c r="A2911" t="n">
        <v>2909</v>
      </c>
    </row>
    <row r="2912">
      <c r="A2912" t="n">
        <v>2910</v>
      </c>
    </row>
    <row r="2913">
      <c r="A2913" t="n">
        <v>2911</v>
      </c>
    </row>
    <row r="2914">
      <c r="A2914" t="n">
        <v>2912</v>
      </c>
    </row>
    <row r="2915">
      <c r="A2915" t="n">
        <v>2913</v>
      </c>
    </row>
    <row r="2916">
      <c r="A2916" t="n">
        <v>2914</v>
      </c>
    </row>
    <row r="2917">
      <c r="A2917" t="n">
        <v>2915</v>
      </c>
    </row>
    <row r="2918">
      <c r="A2918" t="n">
        <v>2916</v>
      </c>
    </row>
    <row r="2919">
      <c r="A2919" t="n">
        <v>2917</v>
      </c>
    </row>
    <row r="2920">
      <c r="A2920" t="n">
        <v>2918</v>
      </c>
    </row>
    <row r="2921">
      <c r="A2921" t="n">
        <v>2919</v>
      </c>
    </row>
    <row r="2922">
      <c r="A2922" t="n">
        <v>2920</v>
      </c>
    </row>
    <row r="2923">
      <c r="A2923" t="n">
        <v>2921</v>
      </c>
    </row>
    <row r="2924">
      <c r="A2924" t="n">
        <v>2922</v>
      </c>
    </row>
    <row r="2925">
      <c r="A2925" t="n">
        <v>2923</v>
      </c>
    </row>
    <row r="2926">
      <c r="A2926" t="n">
        <v>2924</v>
      </c>
    </row>
    <row r="2927">
      <c r="A2927" t="n">
        <v>2925</v>
      </c>
    </row>
    <row r="2928">
      <c r="A2928" t="n">
        <v>2926</v>
      </c>
    </row>
    <row r="2929">
      <c r="A2929" t="n">
        <v>2927</v>
      </c>
    </row>
    <row r="2930">
      <c r="A2930" t="n">
        <v>2928</v>
      </c>
    </row>
    <row r="2931">
      <c r="A2931" t="n">
        <v>2929</v>
      </c>
    </row>
    <row r="2932">
      <c r="A2932" t="n">
        <v>2930</v>
      </c>
    </row>
    <row r="2933">
      <c r="A2933" t="n">
        <v>2931</v>
      </c>
    </row>
    <row r="2934">
      <c r="A2934" t="n">
        <v>2932</v>
      </c>
    </row>
    <row r="2935">
      <c r="A2935" t="n">
        <v>2933</v>
      </c>
    </row>
    <row r="2936">
      <c r="A2936" t="n">
        <v>2934</v>
      </c>
    </row>
    <row r="2937">
      <c r="A2937" t="n">
        <v>2935</v>
      </c>
    </row>
    <row r="2938">
      <c r="A2938" t="n">
        <v>2936</v>
      </c>
    </row>
    <row r="2939">
      <c r="A2939" t="n">
        <v>2937</v>
      </c>
    </row>
    <row r="2940">
      <c r="A2940" t="n">
        <v>2938</v>
      </c>
    </row>
    <row r="2941">
      <c r="A2941" t="n">
        <v>2939</v>
      </c>
    </row>
    <row r="2942">
      <c r="A2942" t="n">
        <v>2940</v>
      </c>
    </row>
    <row r="2943">
      <c r="A2943" t="n">
        <v>2941</v>
      </c>
    </row>
    <row r="2944">
      <c r="A2944" t="n">
        <v>2942</v>
      </c>
    </row>
    <row r="2945">
      <c r="A2945" t="n">
        <v>2943</v>
      </c>
    </row>
    <row r="2946">
      <c r="A2946" t="n">
        <v>2944</v>
      </c>
    </row>
    <row r="2947">
      <c r="A2947" t="n">
        <v>2945</v>
      </c>
    </row>
    <row r="2948">
      <c r="A2948" t="n">
        <v>2946</v>
      </c>
    </row>
    <row r="2949">
      <c r="A2949" t="n">
        <v>2947</v>
      </c>
    </row>
    <row r="2950">
      <c r="A2950" t="n">
        <v>2948</v>
      </c>
    </row>
    <row r="2951">
      <c r="A2951" t="n">
        <v>2949</v>
      </c>
    </row>
    <row r="2952">
      <c r="A2952" t="n">
        <v>2950</v>
      </c>
    </row>
    <row r="2953">
      <c r="A2953" t="n">
        <v>2951</v>
      </c>
    </row>
    <row r="2954">
      <c r="A2954" t="n">
        <v>2952</v>
      </c>
    </row>
    <row r="2955">
      <c r="A2955" t="n">
        <v>2953</v>
      </c>
    </row>
    <row r="2956">
      <c r="A2956" t="n">
        <v>2954</v>
      </c>
    </row>
    <row r="2957">
      <c r="A2957" t="n">
        <v>2955</v>
      </c>
    </row>
    <row r="2958">
      <c r="A2958" t="n">
        <v>2956</v>
      </c>
    </row>
    <row r="2959">
      <c r="A2959" t="n">
        <v>2957</v>
      </c>
    </row>
    <row r="2960">
      <c r="A2960" t="n">
        <v>2958</v>
      </c>
    </row>
    <row r="2961">
      <c r="A2961" t="n">
        <v>2959</v>
      </c>
    </row>
    <row r="2962">
      <c r="A2962" t="n">
        <v>2960</v>
      </c>
    </row>
    <row r="2963">
      <c r="A2963" t="n">
        <v>2961</v>
      </c>
    </row>
    <row r="2964">
      <c r="A2964" t="n">
        <v>2962</v>
      </c>
    </row>
    <row r="2965">
      <c r="A2965" t="n">
        <v>2963</v>
      </c>
    </row>
    <row r="2966">
      <c r="A2966" t="n">
        <v>2964</v>
      </c>
    </row>
    <row r="2967">
      <c r="A2967" t="n">
        <v>2965</v>
      </c>
    </row>
    <row r="2968">
      <c r="A2968" t="n">
        <v>2966</v>
      </c>
    </row>
    <row r="2969">
      <c r="A2969" t="n">
        <v>2967</v>
      </c>
    </row>
    <row r="2970">
      <c r="A2970" t="n">
        <v>2968</v>
      </c>
    </row>
    <row r="2971">
      <c r="A2971" t="n">
        <v>2969</v>
      </c>
    </row>
    <row r="2972">
      <c r="A2972" t="n">
        <v>2970</v>
      </c>
    </row>
    <row r="2973">
      <c r="A2973" t="n">
        <v>2971</v>
      </c>
    </row>
    <row r="2974">
      <c r="A2974" t="n">
        <v>2972</v>
      </c>
    </row>
    <row r="2975">
      <c r="A2975" t="n">
        <v>2973</v>
      </c>
    </row>
    <row r="2976">
      <c r="A2976" t="n">
        <v>2974</v>
      </c>
    </row>
    <row r="2977">
      <c r="A2977" t="n">
        <v>2975</v>
      </c>
    </row>
    <row r="2978">
      <c r="A2978" t="n">
        <v>2976</v>
      </c>
    </row>
    <row r="2979">
      <c r="A2979" t="n">
        <v>2977</v>
      </c>
    </row>
    <row r="2980">
      <c r="A2980" t="n">
        <v>2978</v>
      </c>
    </row>
    <row r="2981">
      <c r="A2981" t="n">
        <v>2979</v>
      </c>
    </row>
    <row r="2982">
      <c r="A2982" t="n">
        <v>2980</v>
      </c>
    </row>
    <row r="2983">
      <c r="A2983" t="n">
        <v>2981</v>
      </c>
    </row>
    <row r="2984">
      <c r="A2984" t="n">
        <v>2982</v>
      </c>
    </row>
    <row r="2985">
      <c r="A2985" t="n">
        <v>2983</v>
      </c>
    </row>
    <row r="2986">
      <c r="A2986" t="n">
        <v>2984</v>
      </c>
    </row>
    <row r="2987">
      <c r="A2987" t="n">
        <v>2985</v>
      </c>
    </row>
    <row r="2988">
      <c r="A2988" t="n">
        <v>2986</v>
      </c>
    </row>
    <row r="2989">
      <c r="A2989" t="n">
        <v>2987</v>
      </c>
    </row>
    <row r="2990">
      <c r="A2990" t="n">
        <v>2988</v>
      </c>
    </row>
    <row r="2991">
      <c r="A2991" t="n">
        <v>2989</v>
      </c>
    </row>
    <row r="2992">
      <c r="A2992" t="n">
        <v>2990</v>
      </c>
    </row>
    <row r="2993">
      <c r="A2993" t="n">
        <v>2991</v>
      </c>
    </row>
    <row r="2994">
      <c r="A2994" t="n">
        <v>2992</v>
      </c>
    </row>
    <row r="2995">
      <c r="A2995" t="n">
        <v>2993</v>
      </c>
    </row>
    <row r="2996">
      <c r="A2996" t="n">
        <v>2994</v>
      </c>
    </row>
    <row r="2997">
      <c r="A2997" t="n">
        <v>2995</v>
      </c>
    </row>
    <row r="2998">
      <c r="A2998" t="n">
        <v>2996</v>
      </c>
    </row>
    <row r="2999">
      <c r="A2999" t="n">
        <v>2997</v>
      </c>
    </row>
    <row r="3000">
      <c r="A3000" t="n">
        <v>2998</v>
      </c>
    </row>
    <row r="3001">
      <c r="A3001" t="n">
        <v>2999</v>
      </c>
    </row>
    <row r="3002">
      <c r="A3002" t="n">
        <v>3000</v>
      </c>
    </row>
    <row r="3003">
      <c r="A3003" t="n">
        <v>3001</v>
      </c>
    </row>
    <row r="3004">
      <c r="A3004" t="n">
        <v>3002</v>
      </c>
    </row>
    <row r="3005">
      <c r="A3005" t="n">
        <v>3003</v>
      </c>
    </row>
    <row r="3006">
      <c r="A3006" t="n">
        <v>3004</v>
      </c>
    </row>
    <row r="3007">
      <c r="A3007" t="n">
        <v>3005</v>
      </c>
    </row>
    <row r="3008">
      <c r="A3008" t="n">
        <v>3006</v>
      </c>
    </row>
    <row r="3009">
      <c r="A3009" t="n">
        <v>3007</v>
      </c>
    </row>
    <row r="3010">
      <c r="A3010" t="n">
        <v>3008</v>
      </c>
    </row>
    <row r="3011">
      <c r="A3011" t="n">
        <v>3009</v>
      </c>
    </row>
    <row r="3012">
      <c r="A3012" t="n">
        <v>3010</v>
      </c>
    </row>
    <row r="3013">
      <c r="A3013" t="n">
        <v>3011</v>
      </c>
    </row>
    <row r="3014">
      <c r="A3014" t="n">
        <v>3012</v>
      </c>
    </row>
    <row r="3015">
      <c r="A3015" t="n">
        <v>3013</v>
      </c>
    </row>
    <row r="3016">
      <c r="A3016" t="n">
        <v>3014</v>
      </c>
    </row>
    <row r="3017">
      <c r="A3017" t="n">
        <v>3015</v>
      </c>
    </row>
    <row r="3018">
      <c r="A3018" t="n">
        <v>3016</v>
      </c>
    </row>
    <row r="3019">
      <c r="A3019" t="n">
        <v>3017</v>
      </c>
    </row>
    <row r="3020">
      <c r="A3020" t="n">
        <v>3018</v>
      </c>
    </row>
    <row r="3021">
      <c r="A3021" t="n">
        <v>3019</v>
      </c>
    </row>
    <row r="3022">
      <c r="A3022" t="n">
        <v>3020</v>
      </c>
    </row>
    <row r="3023">
      <c r="A3023" t="n">
        <v>3021</v>
      </c>
    </row>
    <row r="3024">
      <c r="A3024" t="n">
        <v>3022</v>
      </c>
    </row>
    <row r="3025">
      <c r="A3025" t="n">
        <v>3023</v>
      </c>
    </row>
    <row r="3026">
      <c r="A3026" t="n">
        <v>3024</v>
      </c>
    </row>
    <row r="3027">
      <c r="A3027" t="n">
        <v>3025</v>
      </c>
    </row>
    <row r="3028">
      <c r="A3028" t="n">
        <v>3026</v>
      </c>
    </row>
    <row r="3029">
      <c r="A3029" t="n">
        <v>3027</v>
      </c>
    </row>
    <row r="3030">
      <c r="A3030" t="n">
        <v>3028</v>
      </c>
    </row>
    <row r="3031">
      <c r="A3031" t="n">
        <v>3029</v>
      </c>
    </row>
    <row r="3032">
      <c r="A3032" t="n">
        <v>3030</v>
      </c>
    </row>
    <row r="3033">
      <c r="A3033" t="n">
        <v>3031</v>
      </c>
    </row>
    <row r="3034">
      <c r="A3034" t="n">
        <v>3032</v>
      </c>
    </row>
    <row r="3035">
      <c r="A3035" t="n">
        <v>3033</v>
      </c>
    </row>
    <row r="3036">
      <c r="A3036" t="n">
        <v>3034</v>
      </c>
    </row>
    <row r="3037">
      <c r="A3037" t="n">
        <v>3035</v>
      </c>
    </row>
    <row r="3038">
      <c r="A3038" t="n">
        <v>3036</v>
      </c>
    </row>
    <row r="3039">
      <c r="A3039" t="n">
        <v>3037</v>
      </c>
    </row>
    <row r="3040">
      <c r="A3040" t="n">
        <v>3038</v>
      </c>
    </row>
    <row r="3041">
      <c r="A3041" t="n">
        <v>3039</v>
      </c>
    </row>
    <row r="3042">
      <c r="A3042" t="n">
        <v>3040</v>
      </c>
    </row>
    <row r="3043">
      <c r="A3043" t="n">
        <v>3041</v>
      </c>
    </row>
    <row r="3044">
      <c r="A3044" t="n">
        <v>3042</v>
      </c>
    </row>
    <row r="3045">
      <c r="A3045" t="n">
        <v>3043</v>
      </c>
    </row>
    <row r="3046">
      <c r="A3046" t="n">
        <v>3044</v>
      </c>
    </row>
    <row r="3047">
      <c r="A3047" t="n">
        <v>3045</v>
      </c>
    </row>
    <row r="3048">
      <c r="A3048" t="n">
        <v>3046</v>
      </c>
    </row>
    <row r="3049">
      <c r="A3049" t="n">
        <v>3047</v>
      </c>
    </row>
    <row r="3050">
      <c r="A3050" t="n">
        <v>3048</v>
      </c>
    </row>
    <row r="3051">
      <c r="A3051" t="n">
        <v>3049</v>
      </c>
    </row>
    <row r="3052">
      <c r="A3052" t="n">
        <v>3050</v>
      </c>
    </row>
    <row r="3053">
      <c r="A3053" t="n">
        <v>3051</v>
      </c>
    </row>
    <row r="3054">
      <c r="A3054" t="n">
        <v>3052</v>
      </c>
    </row>
    <row r="3055">
      <c r="A3055" t="n">
        <v>3053</v>
      </c>
    </row>
    <row r="3056">
      <c r="A3056" t="n">
        <v>3054</v>
      </c>
    </row>
    <row r="3057">
      <c r="A3057" t="n">
        <v>3055</v>
      </c>
    </row>
    <row r="3058">
      <c r="A3058" t="n">
        <v>3056</v>
      </c>
    </row>
    <row r="3059">
      <c r="A3059" t="n">
        <v>3057</v>
      </c>
    </row>
    <row r="3060">
      <c r="A3060" t="n">
        <v>3058</v>
      </c>
    </row>
    <row r="3061">
      <c r="A3061" t="n">
        <v>3059</v>
      </c>
    </row>
    <row r="3062">
      <c r="A3062" t="n">
        <v>3060</v>
      </c>
    </row>
    <row r="3063">
      <c r="A3063" t="n">
        <v>3061</v>
      </c>
    </row>
    <row r="3064">
      <c r="A3064" t="n">
        <v>3062</v>
      </c>
    </row>
    <row r="3065">
      <c r="A3065" t="n">
        <v>3063</v>
      </c>
    </row>
    <row r="3066">
      <c r="A3066" t="n">
        <v>3064</v>
      </c>
    </row>
    <row r="3067">
      <c r="A3067" t="n">
        <v>3065</v>
      </c>
    </row>
    <row r="3068">
      <c r="A3068" t="n">
        <v>3066</v>
      </c>
    </row>
    <row r="3069">
      <c r="A3069" t="n">
        <v>3067</v>
      </c>
    </row>
    <row r="3070">
      <c r="A3070" t="n">
        <v>3068</v>
      </c>
    </row>
    <row r="3071">
      <c r="A3071" t="n">
        <v>3069</v>
      </c>
    </row>
    <row r="3072">
      <c r="A3072" t="n">
        <v>3070</v>
      </c>
    </row>
    <row r="3073">
      <c r="A3073" t="n">
        <v>3071</v>
      </c>
    </row>
    <row r="3074">
      <c r="A3074" t="n">
        <v>3072</v>
      </c>
    </row>
    <row r="3075">
      <c r="A3075" t="n">
        <v>3073</v>
      </c>
    </row>
    <row r="3076">
      <c r="A3076" t="n">
        <v>3074</v>
      </c>
    </row>
    <row r="3077">
      <c r="A3077" t="n">
        <v>3075</v>
      </c>
    </row>
    <row r="3078">
      <c r="A3078" t="n">
        <v>3076</v>
      </c>
    </row>
    <row r="3079">
      <c r="A3079" t="n">
        <v>3077</v>
      </c>
    </row>
    <row r="3080">
      <c r="A3080" t="n">
        <v>3078</v>
      </c>
    </row>
    <row r="3081">
      <c r="A3081" t="n">
        <v>3079</v>
      </c>
    </row>
    <row r="3082">
      <c r="A3082" t="n">
        <v>3080</v>
      </c>
    </row>
    <row r="3083">
      <c r="A3083" t="n">
        <v>3081</v>
      </c>
    </row>
    <row r="3084">
      <c r="A3084" t="n">
        <v>3082</v>
      </c>
    </row>
    <row r="3085">
      <c r="A3085" t="n">
        <v>3083</v>
      </c>
    </row>
    <row r="3086">
      <c r="A3086" t="n">
        <v>3084</v>
      </c>
    </row>
    <row r="3087">
      <c r="A3087" t="n">
        <v>3085</v>
      </c>
    </row>
    <row r="3088">
      <c r="A3088" t="n">
        <v>3086</v>
      </c>
    </row>
    <row r="3089">
      <c r="A3089" t="n">
        <v>3087</v>
      </c>
    </row>
    <row r="3090">
      <c r="A3090" t="n">
        <v>3088</v>
      </c>
    </row>
    <row r="3091">
      <c r="A3091" t="n">
        <v>3089</v>
      </c>
    </row>
    <row r="3092">
      <c r="A3092" t="n">
        <v>3090</v>
      </c>
    </row>
    <row r="3093">
      <c r="A3093" t="n">
        <v>3091</v>
      </c>
    </row>
    <row r="3094">
      <c r="A3094" t="n">
        <v>3092</v>
      </c>
    </row>
    <row r="3095">
      <c r="A3095" t="n">
        <v>3093</v>
      </c>
    </row>
    <row r="3096">
      <c r="A3096" t="n">
        <v>3094</v>
      </c>
    </row>
    <row r="3097">
      <c r="A3097" t="n">
        <v>3095</v>
      </c>
    </row>
    <row r="3098">
      <c r="A3098" t="n">
        <v>3096</v>
      </c>
    </row>
    <row r="3099">
      <c r="A3099" t="n">
        <v>3097</v>
      </c>
    </row>
    <row r="3100">
      <c r="A3100" t="n">
        <v>3098</v>
      </c>
    </row>
    <row r="3101">
      <c r="A3101" t="n">
        <v>3099</v>
      </c>
    </row>
    <row r="3102">
      <c r="A3102" t="n">
        <v>3100</v>
      </c>
    </row>
    <row r="3103">
      <c r="A3103" t="n">
        <v>3101</v>
      </c>
    </row>
    <row r="3104">
      <c r="A3104" t="n">
        <v>3102</v>
      </c>
    </row>
    <row r="3105">
      <c r="A3105" t="n">
        <v>3103</v>
      </c>
    </row>
    <row r="3106">
      <c r="A3106" t="n">
        <v>3104</v>
      </c>
    </row>
    <row r="3107">
      <c r="A3107" t="n">
        <v>3105</v>
      </c>
    </row>
    <row r="3108">
      <c r="A3108" t="n">
        <v>3106</v>
      </c>
    </row>
    <row r="3109">
      <c r="A3109" t="n">
        <v>3107</v>
      </c>
    </row>
    <row r="3110">
      <c r="A3110" t="n">
        <v>3108</v>
      </c>
    </row>
    <row r="3111">
      <c r="A3111" t="n">
        <v>3109</v>
      </c>
    </row>
    <row r="3112">
      <c r="A3112" t="n">
        <v>3110</v>
      </c>
    </row>
    <row r="3113">
      <c r="A3113" t="n">
        <v>3111</v>
      </c>
    </row>
    <row r="3114">
      <c r="A3114" t="n">
        <v>3112</v>
      </c>
    </row>
    <row r="3115">
      <c r="A3115" t="n">
        <v>3113</v>
      </c>
    </row>
    <row r="3116">
      <c r="A3116" t="n">
        <v>3114</v>
      </c>
    </row>
    <row r="3117">
      <c r="A3117" t="n">
        <v>3115</v>
      </c>
    </row>
    <row r="3118">
      <c r="A3118" t="n">
        <v>3116</v>
      </c>
    </row>
    <row r="3119">
      <c r="A3119" t="n">
        <v>3117</v>
      </c>
    </row>
    <row r="3120">
      <c r="A3120" t="n">
        <v>3118</v>
      </c>
    </row>
    <row r="3121">
      <c r="A3121" t="n">
        <v>3119</v>
      </c>
    </row>
    <row r="3122">
      <c r="A3122" t="n">
        <v>3120</v>
      </c>
    </row>
    <row r="3123">
      <c r="A3123" t="n">
        <v>3121</v>
      </c>
    </row>
    <row r="3124">
      <c r="A3124" t="n">
        <v>3122</v>
      </c>
    </row>
    <row r="3125">
      <c r="A3125" t="n">
        <v>3123</v>
      </c>
    </row>
    <row r="3126">
      <c r="A3126" t="n">
        <v>3124</v>
      </c>
    </row>
    <row r="3127">
      <c r="A3127" t="n">
        <v>3125</v>
      </c>
    </row>
    <row r="3128">
      <c r="A3128" t="n">
        <v>3126</v>
      </c>
    </row>
    <row r="3129">
      <c r="A3129" t="n">
        <v>3127</v>
      </c>
    </row>
    <row r="3130">
      <c r="A3130" t="n">
        <v>3128</v>
      </c>
    </row>
    <row r="3131">
      <c r="A3131" t="n">
        <v>3129</v>
      </c>
    </row>
    <row r="3132">
      <c r="A3132" t="n">
        <v>3130</v>
      </c>
    </row>
    <row r="3133">
      <c r="A3133" t="n">
        <v>3131</v>
      </c>
    </row>
    <row r="3134">
      <c r="A3134" t="n">
        <v>3132</v>
      </c>
    </row>
    <row r="3135">
      <c r="A3135" t="n">
        <v>3133</v>
      </c>
    </row>
    <row r="3136">
      <c r="A3136" t="n">
        <v>3134</v>
      </c>
    </row>
    <row r="3137">
      <c r="A3137" t="n">
        <v>3135</v>
      </c>
    </row>
    <row r="3138">
      <c r="A3138" t="n">
        <v>3136</v>
      </c>
    </row>
    <row r="3139">
      <c r="A3139" t="n">
        <v>3137</v>
      </c>
    </row>
    <row r="3140">
      <c r="A3140" t="n">
        <v>3138</v>
      </c>
    </row>
    <row r="3141">
      <c r="A3141" t="n">
        <v>3139</v>
      </c>
    </row>
    <row r="3142">
      <c r="A3142" t="n">
        <v>3140</v>
      </c>
    </row>
    <row r="3143">
      <c r="A3143" t="n">
        <v>3141</v>
      </c>
    </row>
    <row r="3144">
      <c r="A3144" t="n">
        <v>3142</v>
      </c>
    </row>
    <row r="3145">
      <c r="A3145" t="n">
        <v>3143</v>
      </c>
    </row>
    <row r="3146">
      <c r="A3146" t="n">
        <v>3144</v>
      </c>
    </row>
    <row r="3147">
      <c r="A3147" t="n">
        <v>3145</v>
      </c>
    </row>
    <row r="3148">
      <c r="A3148" t="n">
        <v>3146</v>
      </c>
    </row>
    <row r="3149">
      <c r="A3149" t="n">
        <v>3147</v>
      </c>
    </row>
    <row r="3150">
      <c r="A3150" t="n">
        <v>3148</v>
      </c>
    </row>
    <row r="3151">
      <c r="A3151" t="n">
        <v>3149</v>
      </c>
    </row>
    <row r="3152">
      <c r="A3152" t="n">
        <v>3150</v>
      </c>
    </row>
    <row r="3153">
      <c r="A3153" t="n">
        <v>3151</v>
      </c>
    </row>
    <row r="3154">
      <c r="A3154" t="n">
        <v>3152</v>
      </c>
    </row>
    <row r="3155">
      <c r="A3155" t="n">
        <v>3153</v>
      </c>
    </row>
    <row r="3156">
      <c r="A3156" t="n">
        <v>3154</v>
      </c>
    </row>
    <row r="3157">
      <c r="A3157" t="n">
        <v>3155</v>
      </c>
    </row>
    <row r="3158">
      <c r="A3158" t="n">
        <v>3156</v>
      </c>
    </row>
    <row r="3159">
      <c r="A3159" t="n">
        <v>3157</v>
      </c>
    </row>
    <row r="3160">
      <c r="A3160" t="n">
        <v>3158</v>
      </c>
    </row>
    <row r="3161">
      <c r="A3161" t="n">
        <v>3159</v>
      </c>
    </row>
    <row r="3162">
      <c r="A3162" t="n">
        <v>3160</v>
      </c>
    </row>
    <row r="3163">
      <c r="A3163" t="n">
        <v>3161</v>
      </c>
    </row>
    <row r="3164">
      <c r="A3164" t="n">
        <v>3162</v>
      </c>
    </row>
    <row r="3165">
      <c r="A3165" t="n">
        <v>3163</v>
      </c>
    </row>
    <row r="3166">
      <c r="A3166" t="n">
        <v>3164</v>
      </c>
    </row>
    <row r="3167">
      <c r="A3167" t="n">
        <v>3165</v>
      </c>
    </row>
    <row r="3168">
      <c r="A3168" t="n">
        <v>3166</v>
      </c>
    </row>
    <row r="3169">
      <c r="A3169" t="n">
        <v>3167</v>
      </c>
    </row>
    <row r="3170">
      <c r="A3170" t="n">
        <v>3168</v>
      </c>
    </row>
    <row r="3171">
      <c r="A3171" t="n">
        <v>3169</v>
      </c>
    </row>
    <row r="3172">
      <c r="A3172" t="n">
        <v>3170</v>
      </c>
    </row>
    <row r="3173">
      <c r="A3173" t="n">
        <v>3171</v>
      </c>
    </row>
    <row r="3174">
      <c r="A3174" t="n">
        <v>3172</v>
      </c>
    </row>
    <row r="3175">
      <c r="A3175" t="n">
        <v>3173</v>
      </c>
    </row>
    <row r="3176">
      <c r="A3176" t="n">
        <v>3174</v>
      </c>
    </row>
    <row r="3177">
      <c r="A3177" t="n">
        <v>3175</v>
      </c>
    </row>
    <row r="3178">
      <c r="A3178" t="n">
        <v>3176</v>
      </c>
    </row>
    <row r="3179">
      <c r="A3179" t="n">
        <v>3177</v>
      </c>
    </row>
    <row r="3180">
      <c r="A3180" t="n">
        <v>3178</v>
      </c>
    </row>
    <row r="3181">
      <c r="A3181" t="n">
        <v>3179</v>
      </c>
    </row>
    <row r="3182">
      <c r="A3182" t="n">
        <v>3180</v>
      </c>
    </row>
    <row r="3183">
      <c r="A3183" t="n">
        <v>3181</v>
      </c>
    </row>
    <row r="3184">
      <c r="A3184" t="n">
        <v>3182</v>
      </c>
    </row>
    <row r="3185">
      <c r="A3185" t="n">
        <v>3183</v>
      </c>
    </row>
    <row r="3186">
      <c r="A3186" t="n">
        <v>3184</v>
      </c>
    </row>
    <row r="3187">
      <c r="A3187" t="n">
        <v>3185</v>
      </c>
    </row>
    <row r="3188">
      <c r="A3188" t="n">
        <v>3186</v>
      </c>
    </row>
    <row r="3189">
      <c r="A3189" t="n">
        <v>3187</v>
      </c>
    </row>
    <row r="3190">
      <c r="A3190" t="n">
        <v>3188</v>
      </c>
    </row>
    <row r="3191">
      <c r="A3191" t="n">
        <v>3189</v>
      </c>
    </row>
    <row r="3192">
      <c r="A3192" t="n">
        <v>3190</v>
      </c>
    </row>
    <row r="3193">
      <c r="A3193" t="n">
        <v>3191</v>
      </c>
    </row>
    <row r="3194">
      <c r="A3194" t="n">
        <v>3192</v>
      </c>
    </row>
    <row r="3195">
      <c r="A3195" t="n">
        <v>3193</v>
      </c>
    </row>
    <row r="3196">
      <c r="A3196" t="n">
        <v>3194</v>
      </c>
    </row>
    <row r="3197">
      <c r="A3197" t="n">
        <v>3195</v>
      </c>
    </row>
    <row r="3198">
      <c r="A3198" t="n">
        <v>3196</v>
      </c>
    </row>
    <row r="3199">
      <c r="A3199" t="n">
        <v>3197</v>
      </c>
    </row>
    <row r="3200">
      <c r="A3200" t="n">
        <v>3198</v>
      </c>
    </row>
    <row r="3201">
      <c r="A3201" t="n">
        <v>3199</v>
      </c>
    </row>
    <row r="3202">
      <c r="A3202" t="n">
        <v>3200</v>
      </c>
    </row>
    <row r="3203">
      <c r="A3203" t="n">
        <v>3201</v>
      </c>
    </row>
    <row r="3204">
      <c r="A3204" t="n">
        <v>3202</v>
      </c>
    </row>
    <row r="3205">
      <c r="A3205" t="n">
        <v>3203</v>
      </c>
    </row>
    <row r="3206">
      <c r="A3206" t="n">
        <v>3204</v>
      </c>
    </row>
    <row r="3207">
      <c r="A3207" t="n">
        <v>3205</v>
      </c>
    </row>
    <row r="3208">
      <c r="A3208" t="n">
        <v>3206</v>
      </c>
    </row>
    <row r="3209">
      <c r="A3209" t="n">
        <v>3207</v>
      </c>
    </row>
    <row r="3210">
      <c r="A3210" t="n">
        <v>3208</v>
      </c>
    </row>
    <row r="3211">
      <c r="A3211" t="n">
        <v>3209</v>
      </c>
    </row>
    <row r="3212">
      <c r="A3212" t="n">
        <v>3210</v>
      </c>
    </row>
    <row r="3213">
      <c r="A3213" t="n">
        <v>3211</v>
      </c>
    </row>
    <row r="3214">
      <c r="A3214" t="n">
        <v>3212</v>
      </c>
    </row>
    <row r="3215">
      <c r="A3215" t="n">
        <v>3213</v>
      </c>
    </row>
    <row r="3216">
      <c r="A3216" t="n">
        <v>3214</v>
      </c>
    </row>
    <row r="3217">
      <c r="A3217" t="n">
        <v>3215</v>
      </c>
    </row>
    <row r="3218">
      <c r="A3218" t="n">
        <v>3216</v>
      </c>
    </row>
    <row r="3219">
      <c r="A3219" t="n">
        <v>3217</v>
      </c>
    </row>
    <row r="3220">
      <c r="A3220" t="n">
        <v>3218</v>
      </c>
    </row>
    <row r="3221">
      <c r="A3221" t="n">
        <v>3219</v>
      </c>
    </row>
    <row r="3222">
      <c r="A3222" t="n">
        <v>3220</v>
      </c>
    </row>
    <row r="3223">
      <c r="A3223" t="n">
        <v>3221</v>
      </c>
    </row>
    <row r="3224">
      <c r="A3224" t="n">
        <v>3222</v>
      </c>
    </row>
    <row r="3225">
      <c r="A3225" t="n">
        <v>3223</v>
      </c>
    </row>
    <row r="3226">
      <c r="A3226" t="n">
        <v>3224</v>
      </c>
    </row>
    <row r="3227">
      <c r="A3227" t="n">
        <v>3225</v>
      </c>
    </row>
    <row r="3228">
      <c r="A3228" t="n">
        <v>3226</v>
      </c>
    </row>
    <row r="3229">
      <c r="A3229" t="n">
        <v>3227</v>
      </c>
    </row>
    <row r="3230">
      <c r="A3230" t="n">
        <v>3228</v>
      </c>
    </row>
    <row r="3231">
      <c r="A3231" t="n">
        <v>3229</v>
      </c>
    </row>
    <row r="3232">
      <c r="A3232" t="n">
        <v>3230</v>
      </c>
    </row>
    <row r="3233">
      <c r="A3233" t="n">
        <v>3231</v>
      </c>
    </row>
    <row r="3234">
      <c r="A3234" t="n">
        <v>3232</v>
      </c>
    </row>
    <row r="3235">
      <c r="A3235" t="n">
        <v>3233</v>
      </c>
    </row>
    <row r="3236">
      <c r="A3236" t="n">
        <v>3234</v>
      </c>
    </row>
    <row r="3237">
      <c r="A3237" t="n">
        <v>3235</v>
      </c>
    </row>
    <row r="3238">
      <c r="A3238" t="n">
        <v>3236</v>
      </c>
    </row>
    <row r="3239">
      <c r="A3239" t="n">
        <v>3237</v>
      </c>
    </row>
    <row r="3240">
      <c r="A3240" t="n">
        <v>3238</v>
      </c>
    </row>
    <row r="3241">
      <c r="A3241" t="n">
        <v>3239</v>
      </c>
    </row>
    <row r="3242">
      <c r="A3242" t="n">
        <v>3240</v>
      </c>
    </row>
    <row r="3243">
      <c r="A3243" t="n">
        <v>3241</v>
      </c>
    </row>
    <row r="3244">
      <c r="A3244" t="n">
        <v>3242</v>
      </c>
    </row>
    <row r="3245">
      <c r="A3245" t="n">
        <v>3243</v>
      </c>
    </row>
    <row r="3246">
      <c r="A3246" t="n">
        <v>3244</v>
      </c>
    </row>
    <row r="3247">
      <c r="A3247" t="n">
        <v>3245</v>
      </c>
    </row>
    <row r="3248">
      <c r="A3248" t="n">
        <v>3246</v>
      </c>
    </row>
    <row r="3249">
      <c r="A3249" t="n">
        <v>3247</v>
      </c>
    </row>
    <row r="3250">
      <c r="A3250" t="n">
        <v>3248</v>
      </c>
    </row>
    <row r="3251">
      <c r="A3251" t="n">
        <v>3249</v>
      </c>
    </row>
    <row r="3252">
      <c r="A3252" t="n">
        <v>3250</v>
      </c>
    </row>
    <row r="3253">
      <c r="A3253" t="n">
        <v>3251</v>
      </c>
    </row>
    <row r="3254">
      <c r="A3254" t="n">
        <v>3252</v>
      </c>
    </row>
    <row r="3255">
      <c r="A3255" t="n">
        <v>3253</v>
      </c>
    </row>
    <row r="3256">
      <c r="A3256" t="n">
        <v>3254</v>
      </c>
    </row>
    <row r="3257">
      <c r="A3257" t="n">
        <v>3255</v>
      </c>
    </row>
    <row r="3258">
      <c r="A3258" t="n">
        <v>3256</v>
      </c>
    </row>
    <row r="3259">
      <c r="A3259" t="n">
        <v>3257</v>
      </c>
    </row>
    <row r="3260">
      <c r="A3260" t="n">
        <v>3258</v>
      </c>
    </row>
    <row r="3261">
      <c r="A3261" t="n">
        <v>3259</v>
      </c>
    </row>
    <row r="3262">
      <c r="A3262" t="n">
        <v>3260</v>
      </c>
    </row>
    <row r="3263">
      <c r="A3263" t="n">
        <v>3261</v>
      </c>
    </row>
    <row r="3264">
      <c r="A3264" t="n">
        <v>3262</v>
      </c>
    </row>
    <row r="3265">
      <c r="A3265" t="n">
        <v>3263</v>
      </c>
    </row>
    <row r="3266">
      <c r="A3266" t="n">
        <v>3264</v>
      </c>
    </row>
    <row r="3267">
      <c r="A3267" t="n">
        <v>3265</v>
      </c>
    </row>
    <row r="3268">
      <c r="A3268" t="n">
        <v>3266</v>
      </c>
    </row>
    <row r="3269">
      <c r="A3269" t="n">
        <v>3267</v>
      </c>
    </row>
    <row r="3270">
      <c r="A3270" t="n">
        <v>3268</v>
      </c>
    </row>
    <row r="3271">
      <c r="A3271" t="n">
        <v>3269</v>
      </c>
    </row>
    <row r="3272">
      <c r="A3272" t="n">
        <v>3270</v>
      </c>
    </row>
    <row r="3273">
      <c r="A3273" t="n">
        <v>3271</v>
      </c>
    </row>
    <row r="3274">
      <c r="A3274" t="n">
        <v>3272</v>
      </c>
    </row>
    <row r="3275">
      <c r="A3275" t="n">
        <v>3273</v>
      </c>
    </row>
    <row r="3276">
      <c r="A3276" t="n">
        <v>3274</v>
      </c>
    </row>
    <row r="3277">
      <c r="A3277" t="n">
        <v>3275</v>
      </c>
    </row>
    <row r="3278">
      <c r="A3278" t="n">
        <v>3276</v>
      </c>
    </row>
    <row r="3279">
      <c r="A3279" t="n">
        <v>3277</v>
      </c>
    </row>
    <row r="3280">
      <c r="A3280" t="n">
        <v>3278</v>
      </c>
    </row>
    <row r="3281">
      <c r="A3281" t="n">
        <v>3279</v>
      </c>
    </row>
    <row r="3282">
      <c r="A3282" t="n">
        <v>3280</v>
      </c>
    </row>
    <row r="3283">
      <c r="A3283" t="n">
        <v>3281</v>
      </c>
    </row>
    <row r="3284">
      <c r="A3284" t="n">
        <v>3282</v>
      </c>
    </row>
    <row r="3285">
      <c r="A3285" t="n">
        <v>3283</v>
      </c>
    </row>
    <row r="3286">
      <c r="A3286" t="n">
        <v>3284</v>
      </c>
    </row>
    <row r="3287">
      <c r="A3287" t="n">
        <v>3285</v>
      </c>
    </row>
    <row r="3288">
      <c r="A3288" t="n">
        <v>3286</v>
      </c>
    </row>
    <row r="3289">
      <c r="A3289" t="n">
        <v>3287</v>
      </c>
    </row>
    <row r="3290">
      <c r="A3290" t="n">
        <v>3288</v>
      </c>
    </row>
    <row r="3291">
      <c r="A3291" t="n">
        <v>3289</v>
      </c>
    </row>
    <row r="3292">
      <c r="A3292" t="n">
        <v>3290</v>
      </c>
    </row>
    <row r="3293">
      <c r="A3293" t="n">
        <v>3291</v>
      </c>
    </row>
    <row r="3294">
      <c r="A3294" t="n">
        <v>3292</v>
      </c>
    </row>
    <row r="3295">
      <c r="A3295" t="n">
        <v>3293</v>
      </c>
    </row>
    <row r="3296">
      <c r="A3296" t="n">
        <v>3294</v>
      </c>
    </row>
    <row r="3297">
      <c r="A3297" t="n">
        <v>3295</v>
      </c>
    </row>
    <row r="3298">
      <c r="A3298" t="n">
        <v>3296</v>
      </c>
    </row>
    <row r="3299">
      <c r="A3299" t="n">
        <v>3297</v>
      </c>
    </row>
    <row r="3300">
      <c r="A3300" t="n">
        <v>3298</v>
      </c>
    </row>
    <row r="3301">
      <c r="A3301" t="n">
        <v>3299</v>
      </c>
    </row>
    <row r="3302">
      <c r="A3302" t="n">
        <v>3300</v>
      </c>
    </row>
    <row r="3303">
      <c r="A3303" t="n">
        <v>3301</v>
      </c>
    </row>
    <row r="3304">
      <c r="A3304" t="n">
        <v>3302</v>
      </c>
    </row>
    <row r="3305">
      <c r="A3305" t="n">
        <v>3303</v>
      </c>
    </row>
    <row r="3306">
      <c r="A3306" t="n">
        <v>3304</v>
      </c>
    </row>
    <row r="3307">
      <c r="A3307" t="n">
        <v>3305</v>
      </c>
    </row>
    <row r="3308">
      <c r="A3308" t="n">
        <v>3306</v>
      </c>
    </row>
    <row r="3309">
      <c r="A3309" t="n">
        <v>3307</v>
      </c>
    </row>
    <row r="3310">
      <c r="A3310" t="n">
        <v>3308</v>
      </c>
    </row>
    <row r="3311">
      <c r="A3311" t="n">
        <v>3309</v>
      </c>
    </row>
    <row r="3312">
      <c r="A3312" t="n">
        <v>3310</v>
      </c>
    </row>
    <row r="3313">
      <c r="A3313" t="n">
        <v>3311</v>
      </c>
    </row>
    <row r="3314">
      <c r="A3314" t="n">
        <v>3312</v>
      </c>
    </row>
    <row r="3315">
      <c r="A3315" t="n">
        <v>3313</v>
      </c>
    </row>
    <row r="3316">
      <c r="A3316" t="n">
        <v>3314</v>
      </c>
    </row>
    <row r="3317">
      <c r="A3317" t="n">
        <v>3315</v>
      </c>
    </row>
    <row r="3318">
      <c r="A3318" t="n">
        <v>3316</v>
      </c>
    </row>
    <row r="3319">
      <c r="A3319" t="n">
        <v>3317</v>
      </c>
    </row>
    <row r="3320">
      <c r="A3320" t="n">
        <v>3318</v>
      </c>
    </row>
    <row r="3321">
      <c r="A3321" t="n">
        <v>3319</v>
      </c>
    </row>
    <row r="3322">
      <c r="A3322" t="n">
        <v>3320</v>
      </c>
    </row>
    <row r="3323">
      <c r="A3323" t="n">
        <v>3321</v>
      </c>
    </row>
    <row r="3324">
      <c r="A3324" t="n">
        <v>3322</v>
      </c>
    </row>
    <row r="3325">
      <c r="A3325" t="n">
        <v>3323</v>
      </c>
    </row>
    <row r="3326">
      <c r="A3326" t="n">
        <v>3324</v>
      </c>
    </row>
    <row r="3327">
      <c r="A3327" t="n">
        <v>3325</v>
      </c>
    </row>
    <row r="3328">
      <c r="A3328" t="n">
        <v>3326</v>
      </c>
    </row>
    <row r="3329">
      <c r="A3329" t="n">
        <v>3327</v>
      </c>
    </row>
    <row r="3330">
      <c r="A3330" t="n">
        <v>3328</v>
      </c>
    </row>
    <row r="3331">
      <c r="A3331" t="n">
        <v>3329</v>
      </c>
    </row>
    <row r="3332">
      <c r="A3332" t="n">
        <v>3330</v>
      </c>
    </row>
    <row r="3333">
      <c r="A3333" t="n">
        <v>3331</v>
      </c>
    </row>
    <row r="3334">
      <c r="A3334" t="n">
        <v>3332</v>
      </c>
    </row>
    <row r="3335">
      <c r="A3335" t="n">
        <v>3333</v>
      </c>
    </row>
    <row r="3336">
      <c r="A3336" t="n">
        <v>3334</v>
      </c>
    </row>
    <row r="3337">
      <c r="A3337" t="n">
        <v>3335</v>
      </c>
    </row>
    <row r="3338">
      <c r="A3338" t="n">
        <v>3336</v>
      </c>
    </row>
    <row r="3339">
      <c r="A3339" t="n">
        <v>3337</v>
      </c>
    </row>
    <row r="3340">
      <c r="A3340" t="n">
        <v>3338</v>
      </c>
    </row>
    <row r="3341">
      <c r="A3341" t="n">
        <v>3339</v>
      </c>
    </row>
    <row r="3342">
      <c r="A3342" t="n">
        <v>3340</v>
      </c>
    </row>
    <row r="3343">
      <c r="A3343" t="n">
        <v>3341</v>
      </c>
    </row>
    <row r="3344">
      <c r="A3344" t="n">
        <v>3342</v>
      </c>
    </row>
    <row r="3345">
      <c r="A3345" t="n">
        <v>3343</v>
      </c>
    </row>
    <row r="3346">
      <c r="A3346" t="n">
        <v>3344</v>
      </c>
    </row>
    <row r="3347">
      <c r="A3347" t="n">
        <v>3345</v>
      </c>
    </row>
    <row r="3348">
      <c r="A3348" t="n">
        <v>3346</v>
      </c>
    </row>
    <row r="3349">
      <c r="A3349" t="n">
        <v>3347</v>
      </c>
    </row>
    <row r="3350">
      <c r="A3350" t="n">
        <v>3348</v>
      </c>
    </row>
    <row r="3351">
      <c r="A3351" t="n">
        <v>3349</v>
      </c>
    </row>
    <row r="3352">
      <c r="A3352" t="n">
        <v>3350</v>
      </c>
    </row>
    <row r="3353">
      <c r="A3353" t="n">
        <v>3351</v>
      </c>
    </row>
    <row r="3354">
      <c r="A3354" t="n">
        <v>3352</v>
      </c>
    </row>
    <row r="3355">
      <c r="A3355" t="n">
        <v>3353</v>
      </c>
    </row>
    <row r="3356">
      <c r="A3356" t="n">
        <v>3354</v>
      </c>
    </row>
    <row r="3357">
      <c r="A3357" t="n">
        <v>3355</v>
      </c>
    </row>
    <row r="3358">
      <c r="A3358" t="n">
        <v>3356</v>
      </c>
    </row>
    <row r="3359">
      <c r="A3359" t="n">
        <v>3357</v>
      </c>
    </row>
    <row r="3360">
      <c r="A3360" t="n">
        <v>3358</v>
      </c>
    </row>
    <row r="3361">
      <c r="A3361" t="n">
        <v>3359</v>
      </c>
    </row>
    <row r="3362">
      <c r="A3362" t="n">
        <v>3360</v>
      </c>
    </row>
    <row r="3363">
      <c r="A3363" t="n">
        <v>3361</v>
      </c>
    </row>
    <row r="3364">
      <c r="A3364" t="n">
        <v>3362</v>
      </c>
    </row>
    <row r="3365">
      <c r="A3365" t="n">
        <v>3363</v>
      </c>
    </row>
    <row r="3366">
      <c r="A3366" t="n">
        <v>3364</v>
      </c>
    </row>
    <row r="3367">
      <c r="A3367" t="n">
        <v>3365</v>
      </c>
    </row>
    <row r="3368">
      <c r="A3368" t="n">
        <v>3366</v>
      </c>
    </row>
    <row r="3369">
      <c r="A3369" t="n">
        <v>3367</v>
      </c>
    </row>
    <row r="3370">
      <c r="A3370" t="n">
        <v>3368</v>
      </c>
    </row>
    <row r="3371">
      <c r="A3371" t="n">
        <v>3369</v>
      </c>
    </row>
    <row r="3372">
      <c r="A3372" t="n">
        <v>3370</v>
      </c>
    </row>
    <row r="3373">
      <c r="A3373" t="n">
        <v>3371</v>
      </c>
    </row>
    <row r="3374">
      <c r="A3374" t="n">
        <v>3372</v>
      </c>
    </row>
    <row r="3375">
      <c r="A3375" t="n">
        <v>3373</v>
      </c>
    </row>
    <row r="3376">
      <c r="A3376" t="n">
        <v>3374</v>
      </c>
    </row>
    <row r="3377">
      <c r="A3377" t="n">
        <v>3375</v>
      </c>
    </row>
    <row r="3378">
      <c r="A3378" t="n">
        <v>3376</v>
      </c>
    </row>
    <row r="3379">
      <c r="A3379" t="n">
        <v>3377</v>
      </c>
    </row>
    <row r="3380">
      <c r="A3380" t="n">
        <v>3378</v>
      </c>
    </row>
    <row r="3381">
      <c r="A3381" t="n">
        <v>3379</v>
      </c>
    </row>
    <row r="3382">
      <c r="A3382" t="n">
        <v>3380</v>
      </c>
    </row>
    <row r="3383">
      <c r="A3383" t="n">
        <v>3381</v>
      </c>
    </row>
    <row r="3384">
      <c r="A3384" t="n">
        <v>3382</v>
      </c>
    </row>
    <row r="3385">
      <c r="A3385" t="n">
        <v>3383</v>
      </c>
    </row>
    <row r="3386">
      <c r="A3386" t="n">
        <v>3384</v>
      </c>
    </row>
    <row r="3387">
      <c r="A3387" t="n">
        <v>3385</v>
      </c>
    </row>
    <row r="3388">
      <c r="A3388" t="n">
        <v>3386</v>
      </c>
    </row>
    <row r="3389">
      <c r="A3389" t="n">
        <v>3387</v>
      </c>
    </row>
    <row r="3390">
      <c r="A3390" t="n">
        <v>3388</v>
      </c>
    </row>
    <row r="3391">
      <c r="A3391" t="n">
        <v>3389</v>
      </c>
    </row>
    <row r="3392">
      <c r="A3392" t="n">
        <v>3390</v>
      </c>
    </row>
    <row r="3393">
      <c r="A3393" t="n">
        <v>3391</v>
      </c>
    </row>
    <row r="3394">
      <c r="A3394" t="n">
        <v>3392</v>
      </c>
    </row>
    <row r="3395">
      <c r="A3395" t="n">
        <v>3393</v>
      </c>
    </row>
    <row r="3396">
      <c r="A3396" t="n">
        <v>3394</v>
      </c>
    </row>
    <row r="3397">
      <c r="A3397" t="n">
        <v>3395</v>
      </c>
    </row>
    <row r="3398">
      <c r="A3398" t="n">
        <v>3396</v>
      </c>
    </row>
    <row r="3399">
      <c r="A3399" t="n">
        <v>3397</v>
      </c>
    </row>
    <row r="3400">
      <c r="A3400" t="n">
        <v>3398</v>
      </c>
    </row>
    <row r="3401">
      <c r="A3401" t="n">
        <v>3399</v>
      </c>
    </row>
    <row r="3402">
      <c r="A3402" t="n">
        <v>3400</v>
      </c>
    </row>
    <row r="3403">
      <c r="A3403" t="n">
        <v>3401</v>
      </c>
    </row>
    <row r="3404">
      <c r="A3404" t="n">
        <v>3402</v>
      </c>
    </row>
    <row r="3405">
      <c r="A3405" t="n">
        <v>3403</v>
      </c>
    </row>
    <row r="3406">
      <c r="A3406" t="n">
        <v>3404</v>
      </c>
    </row>
    <row r="3407">
      <c r="A3407" t="n">
        <v>3405</v>
      </c>
    </row>
    <row r="3408">
      <c r="A3408" t="n">
        <v>3406</v>
      </c>
    </row>
    <row r="3409">
      <c r="A3409" t="n">
        <v>3407</v>
      </c>
    </row>
    <row r="3410">
      <c r="A3410" t="n">
        <v>3408</v>
      </c>
    </row>
    <row r="3411">
      <c r="A3411" t="n">
        <v>3409</v>
      </c>
    </row>
    <row r="3412">
      <c r="A3412" t="n">
        <v>3410</v>
      </c>
    </row>
    <row r="3413">
      <c r="A3413" t="n">
        <v>3411</v>
      </c>
    </row>
    <row r="3414">
      <c r="A3414" t="n">
        <v>3412</v>
      </c>
    </row>
    <row r="3415">
      <c r="A3415" t="n">
        <v>3413</v>
      </c>
    </row>
    <row r="3416">
      <c r="A3416" t="n">
        <v>3414</v>
      </c>
    </row>
    <row r="3417">
      <c r="A3417" t="n">
        <v>3415</v>
      </c>
    </row>
    <row r="3418">
      <c r="A3418" t="n">
        <v>3416</v>
      </c>
    </row>
    <row r="3419">
      <c r="A3419" t="n">
        <v>3417</v>
      </c>
    </row>
    <row r="3420">
      <c r="A3420" t="n">
        <v>3418</v>
      </c>
    </row>
    <row r="3421">
      <c r="A3421" t="n">
        <v>3419</v>
      </c>
    </row>
    <row r="3422">
      <c r="A3422" t="n">
        <v>3420</v>
      </c>
    </row>
    <row r="3423">
      <c r="A3423" t="n">
        <v>3421</v>
      </c>
    </row>
    <row r="3424">
      <c r="A3424" t="n">
        <v>3422</v>
      </c>
    </row>
    <row r="3425">
      <c r="A3425" t="n">
        <v>3423</v>
      </c>
    </row>
    <row r="3426">
      <c r="A3426" t="n">
        <v>3424</v>
      </c>
    </row>
    <row r="3427">
      <c r="A3427" t="n">
        <v>3425</v>
      </c>
    </row>
    <row r="3428">
      <c r="A3428" t="n">
        <v>3426</v>
      </c>
    </row>
    <row r="3429">
      <c r="A3429" t="n">
        <v>3427</v>
      </c>
    </row>
    <row r="3430">
      <c r="A3430" t="n">
        <v>3428</v>
      </c>
    </row>
    <row r="3431">
      <c r="A3431" t="n">
        <v>3429</v>
      </c>
    </row>
    <row r="3432">
      <c r="A3432" t="n">
        <v>3430</v>
      </c>
    </row>
    <row r="3433">
      <c r="A3433" t="n">
        <v>3431</v>
      </c>
    </row>
    <row r="3434">
      <c r="A3434" t="n">
        <v>3432</v>
      </c>
    </row>
    <row r="3435">
      <c r="A3435" t="n">
        <v>3433</v>
      </c>
    </row>
    <row r="3436">
      <c r="A3436" t="n">
        <v>3434</v>
      </c>
    </row>
    <row r="3437">
      <c r="A3437" t="n">
        <v>3435</v>
      </c>
    </row>
    <row r="3438">
      <c r="A3438" t="n">
        <v>3436</v>
      </c>
    </row>
    <row r="3439">
      <c r="A3439" t="n">
        <v>3437</v>
      </c>
    </row>
    <row r="3440">
      <c r="A3440" t="n">
        <v>3438</v>
      </c>
    </row>
    <row r="3441">
      <c r="A3441" t="n">
        <v>3439</v>
      </c>
    </row>
    <row r="3442">
      <c r="A3442" t="n">
        <v>3440</v>
      </c>
    </row>
    <row r="3443">
      <c r="A3443" t="n">
        <v>3441</v>
      </c>
    </row>
    <row r="3444">
      <c r="A3444" t="n">
        <v>3442</v>
      </c>
    </row>
    <row r="3445">
      <c r="A3445" t="n">
        <v>3443</v>
      </c>
    </row>
    <row r="3446">
      <c r="A3446" t="n">
        <v>3444</v>
      </c>
    </row>
    <row r="3447">
      <c r="A3447" t="n">
        <v>3445</v>
      </c>
    </row>
    <row r="3448">
      <c r="A3448" t="n">
        <v>3446</v>
      </c>
    </row>
    <row r="3449">
      <c r="A3449" t="n">
        <v>3447</v>
      </c>
    </row>
    <row r="3450">
      <c r="A3450" t="n">
        <v>3448</v>
      </c>
    </row>
    <row r="3451">
      <c r="A3451" t="n">
        <v>3449</v>
      </c>
    </row>
    <row r="3452">
      <c r="A3452" t="n">
        <v>3450</v>
      </c>
    </row>
    <row r="3453">
      <c r="A3453" t="n">
        <v>3451</v>
      </c>
    </row>
    <row r="3454">
      <c r="A3454" t="n">
        <v>3452</v>
      </c>
    </row>
    <row r="3455">
      <c r="A3455" t="n">
        <v>3453</v>
      </c>
    </row>
    <row r="3456">
      <c r="A3456" t="n">
        <v>3454</v>
      </c>
    </row>
    <row r="3457">
      <c r="A3457" t="n">
        <v>3455</v>
      </c>
    </row>
    <row r="3458">
      <c r="A3458" t="n">
        <v>3456</v>
      </c>
    </row>
    <row r="3459">
      <c r="A3459" t="n">
        <v>3457</v>
      </c>
    </row>
    <row r="3460">
      <c r="A3460" t="n">
        <v>3458</v>
      </c>
    </row>
    <row r="3461">
      <c r="A3461" t="n">
        <v>3459</v>
      </c>
    </row>
    <row r="3462">
      <c r="A3462" t="n">
        <v>3460</v>
      </c>
    </row>
    <row r="3463">
      <c r="A3463" t="n">
        <v>3461</v>
      </c>
    </row>
    <row r="3464">
      <c r="A3464" t="n">
        <v>3462</v>
      </c>
    </row>
    <row r="3465">
      <c r="A3465" t="n">
        <v>3463</v>
      </c>
    </row>
    <row r="3466">
      <c r="A3466" t="n">
        <v>3464</v>
      </c>
    </row>
    <row r="3467">
      <c r="A3467" t="n">
        <v>3465</v>
      </c>
    </row>
    <row r="3468">
      <c r="A3468" t="n">
        <v>3466</v>
      </c>
    </row>
    <row r="3469">
      <c r="A3469" t="n">
        <v>3467</v>
      </c>
    </row>
    <row r="3470">
      <c r="A3470" t="n">
        <v>3468</v>
      </c>
    </row>
    <row r="3471">
      <c r="A3471" t="n">
        <v>3469</v>
      </c>
    </row>
    <row r="3472">
      <c r="A3472" t="n">
        <v>3470</v>
      </c>
    </row>
    <row r="3473">
      <c r="A3473" t="n">
        <v>3471</v>
      </c>
    </row>
    <row r="3474">
      <c r="A3474" t="n">
        <v>3472</v>
      </c>
    </row>
    <row r="3475">
      <c r="A3475" t="n">
        <v>3473</v>
      </c>
    </row>
    <row r="3476">
      <c r="A3476" t="n">
        <v>3474</v>
      </c>
    </row>
    <row r="3477">
      <c r="A3477" t="n">
        <v>3475</v>
      </c>
    </row>
    <row r="3478">
      <c r="A3478" t="n">
        <v>3476</v>
      </c>
    </row>
    <row r="3479">
      <c r="A3479" t="n">
        <v>3477</v>
      </c>
    </row>
    <row r="3480">
      <c r="A3480" t="n">
        <v>3478</v>
      </c>
    </row>
    <row r="3481">
      <c r="A3481" t="n">
        <v>3479</v>
      </c>
    </row>
    <row r="3482">
      <c r="A3482" t="n">
        <v>3480</v>
      </c>
    </row>
    <row r="3483">
      <c r="A3483" t="n">
        <v>3481</v>
      </c>
    </row>
    <row r="3484">
      <c r="A3484" t="n">
        <v>3482</v>
      </c>
    </row>
    <row r="3485">
      <c r="A3485" t="n">
        <v>3483</v>
      </c>
    </row>
    <row r="3486">
      <c r="A3486" t="n">
        <v>3484</v>
      </c>
    </row>
    <row r="3487">
      <c r="A3487" t="n">
        <v>3485</v>
      </c>
    </row>
    <row r="3488">
      <c r="A3488" t="n">
        <v>3486</v>
      </c>
    </row>
    <row r="3489">
      <c r="A3489" t="n">
        <v>3487</v>
      </c>
    </row>
    <row r="3490">
      <c r="A3490" t="n">
        <v>3488</v>
      </c>
    </row>
    <row r="3491">
      <c r="A3491" t="n">
        <v>3489</v>
      </c>
    </row>
    <row r="3492">
      <c r="A3492" t="n">
        <v>3490</v>
      </c>
    </row>
    <row r="3493">
      <c r="A3493" t="n">
        <v>3491</v>
      </c>
    </row>
    <row r="3494">
      <c r="A3494" t="n">
        <v>3492</v>
      </c>
    </row>
    <row r="3495">
      <c r="A3495" t="n">
        <v>3493</v>
      </c>
    </row>
    <row r="3496">
      <c r="A3496" t="n">
        <v>3494</v>
      </c>
    </row>
    <row r="3497">
      <c r="A3497" t="n">
        <v>3495</v>
      </c>
    </row>
    <row r="3498">
      <c r="A3498" t="n">
        <v>3496</v>
      </c>
    </row>
    <row r="3499">
      <c r="A3499" t="n">
        <v>3497</v>
      </c>
    </row>
    <row r="3500">
      <c r="A3500" t="n">
        <v>3498</v>
      </c>
    </row>
    <row r="3501">
      <c r="A3501" t="n">
        <v>3499</v>
      </c>
    </row>
    <row r="3502">
      <c r="A3502" t="n">
        <v>3500</v>
      </c>
    </row>
    <row r="3503">
      <c r="A3503" t="n">
        <v>3501</v>
      </c>
    </row>
    <row r="3504">
      <c r="A3504" t="n">
        <v>3502</v>
      </c>
    </row>
    <row r="3505">
      <c r="A3505" t="n">
        <v>3503</v>
      </c>
    </row>
    <row r="3506">
      <c r="A3506" t="n">
        <v>3504</v>
      </c>
    </row>
    <row r="3507">
      <c r="A3507" t="n">
        <v>3505</v>
      </c>
    </row>
    <row r="3508">
      <c r="A3508" t="n">
        <v>3506</v>
      </c>
    </row>
    <row r="3509">
      <c r="A3509" t="n">
        <v>3507</v>
      </c>
    </row>
    <row r="3510">
      <c r="A3510" t="n">
        <v>3508</v>
      </c>
    </row>
    <row r="3511">
      <c r="A3511" t="n">
        <v>3509</v>
      </c>
    </row>
    <row r="3512">
      <c r="A3512" t="n">
        <v>3510</v>
      </c>
    </row>
    <row r="3513">
      <c r="A3513" t="n">
        <v>3511</v>
      </c>
    </row>
    <row r="3514">
      <c r="A3514" t="n">
        <v>3512</v>
      </c>
    </row>
    <row r="3515">
      <c r="A3515" t="n">
        <v>3513</v>
      </c>
    </row>
    <row r="3516">
      <c r="A3516" t="n">
        <v>3514</v>
      </c>
    </row>
    <row r="3517">
      <c r="A3517" t="n">
        <v>3515</v>
      </c>
    </row>
    <row r="3518">
      <c r="A3518" t="n">
        <v>3516</v>
      </c>
    </row>
    <row r="3519">
      <c r="A3519" t="n">
        <v>3517</v>
      </c>
    </row>
    <row r="3520">
      <c r="A3520" t="n">
        <v>3518</v>
      </c>
    </row>
    <row r="3521">
      <c r="A3521" t="n">
        <v>3519</v>
      </c>
    </row>
    <row r="3522">
      <c r="A3522" t="n">
        <v>3520</v>
      </c>
    </row>
    <row r="3523">
      <c r="A3523" t="n">
        <v>3521</v>
      </c>
    </row>
    <row r="3524">
      <c r="A3524" t="n">
        <v>3522</v>
      </c>
    </row>
    <row r="3525">
      <c r="A3525" t="n">
        <v>3523</v>
      </c>
    </row>
    <row r="3526">
      <c r="A3526" t="n">
        <v>3524</v>
      </c>
    </row>
    <row r="3527">
      <c r="A3527" t="n">
        <v>3525</v>
      </c>
    </row>
    <row r="3528">
      <c r="A3528" t="n">
        <v>3526</v>
      </c>
    </row>
    <row r="3529">
      <c r="A3529" t="n">
        <v>3527</v>
      </c>
    </row>
    <row r="3530">
      <c r="A3530" t="n">
        <v>3528</v>
      </c>
    </row>
    <row r="3531">
      <c r="A3531" t="n">
        <v>3529</v>
      </c>
    </row>
    <row r="3532">
      <c r="A3532" t="n">
        <v>3530</v>
      </c>
    </row>
    <row r="3533">
      <c r="A3533" t="n">
        <v>3531</v>
      </c>
    </row>
    <row r="3534">
      <c r="A3534" t="n">
        <v>3532</v>
      </c>
    </row>
    <row r="3535">
      <c r="A3535" t="n">
        <v>3533</v>
      </c>
    </row>
    <row r="3536">
      <c r="A3536" t="n">
        <v>3534</v>
      </c>
    </row>
    <row r="3537">
      <c r="A3537" t="n">
        <v>3535</v>
      </c>
    </row>
    <row r="3538">
      <c r="A3538" t="n">
        <v>3536</v>
      </c>
    </row>
    <row r="3539">
      <c r="A3539" t="n">
        <v>3537</v>
      </c>
    </row>
    <row r="3540">
      <c r="A3540" t="n">
        <v>3538</v>
      </c>
    </row>
    <row r="3541">
      <c r="A3541" t="n">
        <v>3539</v>
      </c>
    </row>
    <row r="3542">
      <c r="A3542" t="n">
        <v>3540</v>
      </c>
    </row>
    <row r="3543">
      <c r="A3543" t="n">
        <v>3541</v>
      </c>
    </row>
    <row r="3544">
      <c r="A3544" t="n">
        <v>3542</v>
      </c>
    </row>
    <row r="3545">
      <c r="A3545" t="n">
        <v>3543</v>
      </c>
    </row>
    <row r="3546">
      <c r="A3546" t="n">
        <v>3544</v>
      </c>
    </row>
    <row r="3547">
      <c r="A3547" t="n">
        <v>3545</v>
      </c>
    </row>
    <row r="3548">
      <c r="A3548" t="n">
        <v>3546</v>
      </c>
    </row>
    <row r="3549">
      <c r="A3549" t="n">
        <v>3547</v>
      </c>
    </row>
    <row r="3550">
      <c r="A3550" t="n">
        <v>3548</v>
      </c>
    </row>
    <row r="3551">
      <c r="A3551" t="n">
        <v>3549</v>
      </c>
    </row>
    <row r="3552">
      <c r="A3552" t="n">
        <v>3550</v>
      </c>
    </row>
    <row r="3553">
      <c r="A3553" t="n">
        <v>3551</v>
      </c>
    </row>
    <row r="3554">
      <c r="A3554" t="n">
        <v>3552</v>
      </c>
    </row>
    <row r="3555">
      <c r="A3555" t="n">
        <v>3553</v>
      </c>
    </row>
    <row r="3556">
      <c r="A3556" t="n">
        <v>3554</v>
      </c>
    </row>
    <row r="3557">
      <c r="A3557" t="n">
        <v>3555</v>
      </c>
    </row>
    <row r="3558">
      <c r="A3558" t="n">
        <v>3556</v>
      </c>
    </row>
    <row r="3559">
      <c r="A3559" t="n">
        <v>3557</v>
      </c>
    </row>
    <row r="3560">
      <c r="A3560" t="n">
        <v>3558</v>
      </c>
    </row>
    <row r="3561">
      <c r="A3561" t="n">
        <v>3559</v>
      </c>
    </row>
    <row r="3562">
      <c r="A3562" t="n">
        <v>3560</v>
      </c>
    </row>
    <row r="3563">
      <c r="A3563" t="n">
        <v>3561</v>
      </c>
    </row>
    <row r="3564">
      <c r="A3564" t="n">
        <v>3562</v>
      </c>
    </row>
    <row r="3565">
      <c r="A3565" t="n">
        <v>3563</v>
      </c>
    </row>
    <row r="3566">
      <c r="A3566" t="n">
        <v>3564</v>
      </c>
    </row>
    <row r="3567">
      <c r="A3567" t="n">
        <v>3565</v>
      </c>
    </row>
    <row r="3568">
      <c r="A3568" t="n">
        <v>3566</v>
      </c>
    </row>
    <row r="3569">
      <c r="A3569" t="n">
        <v>3567</v>
      </c>
    </row>
    <row r="3570">
      <c r="A3570" t="n">
        <v>3568</v>
      </c>
    </row>
    <row r="3571">
      <c r="A3571" t="n">
        <v>3569</v>
      </c>
    </row>
    <row r="3572">
      <c r="A3572" t="n">
        <v>3570</v>
      </c>
    </row>
    <row r="3573">
      <c r="A3573" t="n">
        <v>3571</v>
      </c>
    </row>
    <row r="3574">
      <c r="A3574" t="n">
        <v>3572</v>
      </c>
    </row>
    <row r="3575">
      <c r="A3575" t="n">
        <v>3573</v>
      </c>
    </row>
    <row r="3576">
      <c r="A3576" t="n">
        <v>3574</v>
      </c>
    </row>
    <row r="3577">
      <c r="A3577" t="n">
        <v>3575</v>
      </c>
    </row>
    <row r="3578">
      <c r="A3578" t="n">
        <v>3576</v>
      </c>
    </row>
    <row r="3579">
      <c r="A3579" t="n">
        <v>3577</v>
      </c>
    </row>
    <row r="3580">
      <c r="A3580" t="n">
        <v>3578</v>
      </c>
    </row>
    <row r="3581">
      <c r="A3581" t="n">
        <v>3579</v>
      </c>
    </row>
    <row r="3582">
      <c r="A3582" t="n">
        <v>3580</v>
      </c>
    </row>
    <row r="3583">
      <c r="A3583" t="n">
        <v>3581</v>
      </c>
    </row>
    <row r="3584">
      <c r="A3584" t="n">
        <v>3582</v>
      </c>
    </row>
    <row r="3585">
      <c r="A3585" t="n">
        <v>3583</v>
      </c>
    </row>
    <row r="3586">
      <c r="A3586" t="n">
        <v>3584</v>
      </c>
    </row>
    <row r="3587">
      <c r="A3587" t="n">
        <v>3585</v>
      </c>
    </row>
    <row r="3588">
      <c r="A3588" t="n">
        <v>3586</v>
      </c>
    </row>
    <row r="3589">
      <c r="A3589" t="n">
        <v>3587</v>
      </c>
    </row>
    <row r="3590">
      <c r="A3590" t="n">
        <v>3588</v>
      </c>
    </row>
    <row r="3591">
      <c r="A3591" t="n">
        <v>3589</v>
      </c>
    </row>
    <row r="3592">
      <c r="A3592" t="n">
        <v>3590</v>
      </c>
    </row>
    <row r="3593">
      <c r="A3593" t="n">
        <v>3591</v>
      </c>
    </row>
    <row r="3594">
      <c r="A3594" t="n">
        <v>3592</v>
      </c>
    </row>
    <row r="3595">
      <c r="A3595" t="n">
        <v>3593</v>
      </c>
    </row>
    <row r="3596">
      <c r="A3596" t="n">
        <v>3594</v>
      </c>
    </row>
    <row r="3597">
      <c r="A3597" t="n">
        <v>3595</v>
      </c>
    </row>
    <row r="3598">
      <c r="A3598" t="n">
        <v>3596</v>
      </c>
    </row>
    <row r="3599">
      <c r="A3599" t="n">
        <v>3597</v>
      </c>
    </row>
    <row r="3600">
      <c r="A3600" t="n">
        <v>3598</v>
      </c>
    </row>
    <row r="3601">
      <c r="A3601" t="n">
        <v>3599</v>
      </c>
    </row>
    <row r="3602">
      <c r="A3602" t="n">
        <v>3600</v>
      </c>
    </row>
    <row r="3603">
      <c r="A3603" t="n">
        <v>3601</v>
      </c>
    </row>
    <row r="3604">
      <c r="A3604" t="n">
        <v>3602</v>
      </c>
    </row>
    <row r="3605">
      <c r="A3605" t="n">
        <v>3603</v>
      </c>
    </row>
    <row r="3606">
      <c r="A3606" t="n">
        <v>3604</v>
      </c>
    </row>
    <row r="3607">
      <c r="A3607" t="n">
        <v>3605</v>
      </c>
    </row>
    <row r="3608">
      <c r="A3608" t="n">
        <v>3606</v>
      </c>
    </row>
    <row r="3609">
      <c r="A3609" t="n">
        <v>3607</v>
      </c>
    </row>
    <row r="3610">
      <c r="A3610" t="n">
        <v>3608</v>
      </c>
    </row>
    <row r="3611">
      <c r="A3611" t="n">
        <v>3609</v>
      </c>
    </row>
    <row r="3612">
      <c r="A3612" t="n">
        <v>3610</v>
      </c>
    </row>
    <row r="3613">
      <c r="A3613" t="n">
        <v>3611</v>
      </c>
    </row>
    <row r="3614">
      <c r="A3614" t="n">
        <v>3612</v>
      </c>
    </row>
    <row r="3615">
      <c r="A3615" t="n">
        <v>3613</v>
      </c>
    </row>
    <row r="3616">
      <c r="A3616" t="n">
        <v>3614</v>
      </c>
    </row>
    <row r="3617">
      <c r="A3617" t="n">
        <v>3615</v>
      </c>
    </row>
    <row r="3618">
      <c r="A3618" t="n">
        <v>3616</v>
      </c>
    </row>
    <row r="3619">
      <c r="A3619" t="n">
        <v>3617</v>
      </c>
    </row>
    <row r="3620">
      <c r="A3620" t="n">
        <v>3618</v>
      </c>
    </row>
    <row r="3621">
      <c r="A3621" t="n">
        <v>3619</v>
      </c>
    </row>
    <row r="3622">
      <c r="A3622" t="n">
        <v>3620</v>
      </c>
    </row>
    <row r="3623">
      <c r="A3623" t="n">
        <v>3621</v>
      </c>
    </row>
    <row r="3624">
      <c r="A3624" t="n">
        <v>3622</v>
      </c>
    </row>
    <row r="3625">
      <c r="A3625" t="n">
        <v>3623</v>
      </c>
    </row>
    <row r="3626">
      <c r="A3626" t="n">
        <v>3624</v>
      </c>
    </row>
    <row r="3627">
      <c r="A3627" t="n">
        <v>3625</v>
      </c>
    </row>
    <row r="3628">
      <c r="A3628" t="n">
        <v>3626</v>
      </c>
    </row>
    <row r="3629">
      <c r="A3629" t="n">
        <v>3627</v>
      </c>
    </row>
    <row r="3630">
      <c r="A3630" t="n">
        <v>3628</v>
      </c>
    </row>
    <row r="3631">
      <c r="A3631" t="n">
        <v>3629</v>
      </c>
    </row>
    <row r="3632">
      <c r="A3632" t="n">
        <v>3630</v>
      </c>
    </row>
    <row r="3633">
      <c r="A3633" t="n">
        <v>3631</v>
      </c>
    </row>
    <row r="3634">
      <c r="A3634" t="n">
        <v>3632</v>
      </c>
    </row>
    <row r="3635">
      <c r="A3635" t="n">
        <v>3633</v>
      </c>
    </row>
    <row r="3636">
      <c r="A3636" t="n">
        <v>3634</v>
      </c>
    </row>
    <row r="3637">
      <c r="A3637" t="n">
        <v>3635</v>
      </c>
    </row>
    <row r="3638">
      <c r="A3638" t="n">
        <v>3636</v>
      </c>
    </row>
    <row r="3639">
      <c r="A3639" t="n">
        <v>3637</v>
      </c>
    </row>
    <row r="3640">
      <c r="A3640" t="n">
        <v>3638</v>
      </c>
    </row>
    <row r="3641">
      <c r="A3641" t="n">
        <v>3639</v>
      </c>
    </row>
    <row r="3642">
      <c r="A3642" t="n">
        <v>3640</v>
      </c>
    </row>
    <row r="3643">
      <c r="A3643" t="n">
        <v>3641</v>
      </c>
    </row>
    <row r="3644">
      <c r="A3644" t="n">
        <v>3642</v>
      </c>
    </row>
    <row r="3645">
      <c r="A3645" t="n">
        <v>3643</v>
      </c>
    </row>
    <row r="3646">
      <c r="A3646" t="n">
        <v>3644</v>
      </c>
    </row>
    <row r="3647">
      <c r="A3647" t="n">
        <v>3645</v>
      </c>
    </row>
    <row r="3648">
      <c r="A3648" t="n">
        <v>3646</v>
      </c>
    </row>
    <row r="3649">
      <c r="A3649" t="n">
        <v>3647</v>
      </c>
    </row>
    <row r="3650">
      <c r="A3650" t="n">
        <v>3648</v>
      </c>
    </row>
    <row r="3651">
      <c r="A3651" t="n">
        <v>3649</v>
      </c>
    </row>
    <row r="3652">
      <c r="A3652" t="n">
        <v>3650</v>
      </c>
    </row>
    <row r="3653">
      <c r="A3653" t="n">
        <v>3651</v>
      </c>
    </row>
    <row r="3654">
      <c r="A3654" t="n">
        <v>3652</v>
      </c>
    </row>
    <row r="3655">
      <c r="A3655" t="n">
        <v>3653</v>
      </c>
    </row>
    <row r="3656">
      <c r="A3656" t="n">
        <v>3654</v>
      </c>
    </row>
    <row r="3657">
      <c r="A3657" t="n">
        <v>3655</v>
      </c>
    </row>
    <row r="3658">
      <c r="A3658" t="n">
        <v>3656</v>
      </c>
    </row>
    <row r="3659">
      <c r="A3659" t="n">
        <v>3657</v>
      </c>
    </row>
    <row r="3660">
      <c r="A3660" t="n">
        <v>3658</v>
      </c>
    </row>
    <row r="3661">
      <c r="A3661" t="n">
        <v>3659</v>
      </c>
    </row>
    <row r="3662">
      <c r="A3662" t="n">
        <v>3660</v>
      </c>
    </row>
    <row r="3663">
      <c r="A3663" t="n">
        <v>3661</v>
      </c>
    </row>
    <row r="3664">
      <c r="A3664" t="n">
        <v>3662</v>
      </c>
    </row>
    <row r="3665">
      <c r="A3665" t="n">
        <v>3663</v>
      </c>
    </row>
    <row r="3666">
      <c r="A3666" t="n">
        <v>3664</v>
      </c>
    </row>
    <row r="3667">
      <c r="A3667" t="n">
        <v>3665</v>
      </c>
    </row>
    <row r="3668">
      <c r="A3668" t="n">
        <v>3666</v>
      </c>
    </row>
    <row r="3669">
      <c r="A3669" t="n">
        <v>3667</v>
      </c>
    </row>
    <row r="3670">
      <c r="A3670" t="n">
        <v>3668</v>
      </c>
    </row>
    <row r="3671">
      <c r="A3671" t="n">
        <v>3669</v>
      </c>
    </row>
    <row r="3672">
      <c r="A3672" t="n">
        <v>3670</v>
      </c>
    </row>
    <row r="3673">
      <c r="A3673" t="n">
        <v>3671</v>
      </c>
    </row>
    <row r="3674">
      <c r="A3674" t="n">
        <v>3672</v>
      </c>
    </row>
    <row r="3675">
      <c r="A3675" t="n">
        <v>3673</v>
      </c>
    </row>
    <row r="3676">
      <c r="A3676" t="n">
        <v>3674</v>
      </c>
    </row>
    <row r="3677">
      <c r="A3677" t="n">
        <v>3675</v>
      </c>
    </row>
    <row r="3678">
      <c r="A3678" t="n">
        <v>3676</v>
      </c>
    </row>
    <row r="3679">
      <c r="A3679" t="n">
        <v>3677</v>
      </c>
    </row>
    <row r="3680">
      <c r="A3680" t="n">
        <v>3678</v>
      </c>
    </row>
    <row r="3681">
      <c r="A3681" t="n">
        <v>3679</v>
      </c>
    </row>
    <row r="3682">
      <c r="A3682" t="n">
        <v>3680</v>
      </c>
    </row>
    <row r="3683">
      <c r="A3683" t="n">
        <v>3681</v>
      </c>
    </row>
    <row r="3684">
      <c r="A3684" t="n">
        <v>3682</v>
      </c>
    </row>
    <row r="3685">
      <c r="A3685" t="n">
        <v>3683</v>
      </c>
    </row>
    <row r="3686">
      <c r="A3686" t="n">
        <v>3684</v>
      </c>
    </row>
    <row r="3687">
      <c r="A3687" t="n">
        <v>3685</v>
      </c>
    </row>
    <row r="3688">
      <c r="A3688" t="n">
        <v>3686</v>
      </c>
    </row>
    <row r="3689">
      <c r="A3689" t="n">
        <v>3687</v>
      </c>
    </row>
    <row r="3690">
      <c r="A3690" t="n">
        <v>3688</v>
      </c>
    </row>
    <row r="3691">
      <c r="A3691" t="n">
        <v>3689</v>
      </c>
    </row>
    <row r="3692">
      <c r="A3692" t="n">
        <v>3690</v>
      </c>
    </row>
    <row r="3693">
      <c r="A3693" t="n">
        <v>3691</v>
      </c>
    </row>
    <row r="3694">
      <c r="A3694" t="n">
        <v>3692</v>
      </c>
    </row>
    <row r="3695">
      <c r="A3695" t="n">
        <v>3693</v>
      </c>
    </row>
    <row r="3696">
      <c r="A3696" t="n">
        <v>3694</v>
      </c>
    </row>
    <row r="3697">
      <c r="A3697" t="n">
        <v>3695</v>
      </c>
    </row>
    <row r="3698">
      <c r="A3698" t="n">
        <v>3696</v>
      </c>
    </row>
    <row r="3699">
      <c r="A3699" t="n">
        <v>3697</v>
      </c>
    </row>
    <row r="3700">
      <c r="A3700" t="n">
        <v>3698</v>
      </c>
    </row>
    <row r="3701">
      <c r="A3701" t="n">
        <v>3699</v>
      </c>
    </row>
    <row r="3702">
      <c r="A3702" t="n">
        <v>3700</v>
      </c>
    </row>
    <row r="3703">
      <c r="A3703" t="n">
        <v>3701</v>
      </c>
    </row>
    <row r="3704">
      <c r="A3704" t="n">
        <v>3702</v>
      </c>
    </row>
    <row r="3705">
      <c r="A3705" t="n">
        <v>3703</v>
      </c>
    </row>
    <row r="3706">
      <c r="A3706" t="n">
        <v>3704</v>
      </c>
    </row>
    <row r="3707">
      <c r="A3707" t="n">
        <v>3705</v>
      </c>
    </row>
    <row r="3708">
      <c r="A3708" t="n">
        <v>3706</v>
      </c>
    </row>
    <row r="3709">
      <c r="A3709" t="n">
        <v>3707</v>
      </c>
    </row>
    <row r="3710">
      <c r="A3710" t="n">
        <v>3708</v>
      </c>
    </row>
    <row r="3711">
      <c r="A3711" t="n">
        <v>3709</v>
      </c>
    </row>
    <row r="3712">
      <c r="A3712" t="n">
        <v>3710</v>
      </c>
    </row>
    <row r="3713">
      <c r="A3713" t="n">
        <v>3711</v>
      </c>
    </row>
    <row r="3714">
      <c r="A3714" t="n">
        <v>3712</v>
      </c>
    </row>
    <row r="3715">
      <c r="A3715" t="n">
        <v>3713</v>
      </c>
    </row>
    <row r="3716">
      <c r="A3716" t="n">
        <v>3714</v>
      </c>
    </row>
    <row r="3717">
      <c r="A3717" t="n">
        <v>3715</v>
      </c>
    </row>
    <row r="3718">
      <c r="A3718" t="n">
        <v>3716</v>
      </c>
    </row>
    <row r="3719">
      <c r="A3719" t="n">
        <v>3717</v>
      </c>
    </row>
    <row r="3720">
      <c r="A3720" t="n">
        <v>3718</v>
      </c>
    </row>
    <row r="3721">
      <c r="A3721" t="n">
        <v>3719</v>
      </c>
    </row>
    <row r="3722">
      <c r="A3722" t="n">
        <v>3720</v>
      </c>
    </row>
    <row r="3723">
      <c r="A3723" t="n">
        <v>3721</v>
      </c>
    </row>
    <row r="3724">
      <c r="A3724" t="n">
        <v>3722</v>
      </c>
    </row>
    <row r="3725">
      <c r="A3725" t="n">
        <v>3723</v>
      </c>
    </row>
    <row r="3726">
      <c r="A3726" t="n">
        <v>3724</v>
      </c>
    </row>
    <row r="3727">
      <c r="A3727" t="n">
        <v>3725</v>
      </c>
    </row>
    <row r="3728">
      <c r="A3728" t="n">
        <v>3726</v>
      </c>
    </row>
    <row r="3729">
      <c r="A3729" t="n">
        <v>3727</v>
      </c>
    </row>
    <row r="3730">
      <c r="A3730" t="n">
        <v>3728</v>
      </c>
    </row>
    <row r="3731">
      <c r="A3731" t="n">
        <v>3729</v>
      </c>
    </row>
    <row r="3732">
      <c r="A3732" t="n">
        <v>3730</v>
      </c>
    </row>
    <row r="3733">
      <c r="A3733" t="n">
        <v>3731</v>
      </c>
    </row>
    <row r="3734">
      <c r="A3734" t="n">
        <v>3732</v>
      </c>
    </row>
    <row r="3735">
      <c r="A3735" t="n">
        <v>3733</v>
      </c>
    </row>
    <row r="3736">
      <c r="A3736" t="n">
        <v>3734</v>
      </c>
    </row>
    <row r="3737">
      <c r="A3737" t="n">
        <v>3735</v>
      </c>
    </row>
    <row r="3738">
      <c r="A3738" t="n">
        <v>3736</v>
      </c>
    </row>
    <row r="3739">
      <c r="A3739" t="n">
        <v>3737</v>
      </c>
    </row>
    <row r="3740">
      <c r="A3740" t="n">
        <v>3738</v>
      </c>
    </row>
    <row r="3741">
      <c r="A3741" t="n">
        <v>3739</v>
      </c>
    </row>
    <row r="3742">
      <c r="A3742" t="n">
        <v>3740</v>
      </c>
    </row>
    <row r="3743">
      <c r="A3743" t="n">
        <v>3741</v>
      </c>
    </row>
    <row r="3744">
      <c r="A3744" t="n">
        <v>3742</v>
      </c>
    </row>
    <row r="3745">
      <c r="A3745" t="n">
        <v>3743</v>
      </c>
    </row>
    <row r="3746">
      <c r="A3746" t="n">
        <v>3744</v>
      </c>
    </row>
    <row r="3747">
      <c r="A3747" t="n">
        <v>3745</v>
      </c>
    </row>
    <row r="3748">
      <c r="A3748" t="n">
        <v>3746</v>
      </c>
    </row>
    <row r="3749">
      <c r="A3749" t="n">
        <v>3747</v>
      </c>
    </row>
    <row r="3750">
      <c r="A3750" t="n">
        <v>3748</v>
      </c>
    </row>
    <row r="3751">
      <c r="A3751" t="n">
        <v>3749</v>
      </c>
    </row>
    <row r="3752">
      <c r="A3752" t="n">
        <v>3750</v>
      </c>
    </row>
    <row r="3753">
      <c r="A3753" t="n">
        <v>3751</v>
      </c>
    </row>
    <row r="3754">
      <c r="A3754" t="n">
        <v>3752</v>
      </c>
    </row>
    <row r="3755">
      <c r="A3755" t="n">
        <v>3753</v>
      </c>
    </row>
    <row r="3756">
      <c r="A3756" t="n">
        <v>3754</v>
      </c>
    </row>
    <row r="3757">
      <c r="A3757" t="n">
        <v>3755</v>
      </c>
    </row>
    <row r="3758">
      <c r="A3758" t="n">
        <v>3756</v>
      </c>
    </row>
    <row r="3759">
      <c r="A3759" t="n">
        <v>3757</v>
      </c>
    </row>
    <row r="3760">
      <c r="A3760" t="n">
        <v>3758</v>
      </c>
    </row>
    <row r="3761">
      <c r="A3761" t="n">
        <v>3759</v>
      </c>
    </row>
    <row r="3762">
      <c r="A3762" t="n">
        <v>3760</v>
      </c>
    </row>
    <row r="3763">
      <c r="A3763" t="n">
        <v>3761</v>
      </c>
    </row>
    <row r="3764">
      <c r="A3764" t="n">
        <v>3762</v>
      </c>
    </row>
    <row r="3765">
      <c r="A3765" t="n">
        <v>3763</v>
      </c>
    </row>
    <row r="3766">
      <c r="A3766" t="n">
        <v>3764</v>
      </c>
    </row>
    <row r="3767">
      <c r="A3767" t="n">
        <v>3765</v>
      </c>
    </row>
    <row r="3768">
      <c r="A3768" t="n">
        <v>3766</v>
      </c>
    </row>
    <row r="3769">
      <c r="A3769" t="n">
        <v>3767</v>
      </c>
    </row>
    <row r="3770">
      <c r="A3770" t="n">
        <v>3768</v>
      </c>
    </row>
    <row r="3771">
      <c r="A3771" t="n">
        <v>3769</v>
      </c>
    </row>
    <row r="3772">
      <c r="A3772" t="n">
        <v>3770</v>
      </c>
    </row>
    <row r="3773">
      <c r="A3773" t="n">
        <v>3771</v>
      </c>
    </row>
    <row r="3774">
      <c r="A3774" t="n">
        <v>3772</v>
      </c>
    </row>
    <row r="3775">
      <c r="A3775" t="n">
        <v>3773</v>
      </c>
    </row>
    <row r="3776">
      <c r="A3776" t="n">
        <v>3774</v>
      </c>
    </row>
    <row r="3777">
      <c r="A3777" t="n">
        <v>3775</v>
      </c>
    </row>
    <row r="3778">
      <c r="A3778" t="n">
        <v>3776</v>
      </c>
    </row>
    <row r="3779">
      <c r="A3779" t="n">
        <v>3777</v>
      </c>
    </row>
    <row r="3780">
      <c r="A3780" t="n">
        <v>3778</v>
      </c>
    </row>
    <row r="3781">
      <c r="A3781" t="n">
        <v>3779</v>
      </c>
    </row>
    <row r="3782">
      <c r="A3782" t="n">
        <v>3780</v>
      </c>
    </row>
    <row r="3783">
      <c r="A3783" t="n">
        <v>3781</v>
      </c>
    </row>
    <row r="3784">
      <c r="A3784" t="n">
        <v>3782</v>
      </c>
    </row>
    <row r="3785">
      <c r="A3785" t="n">
        <v>3783</v>
      </c>
    </row>
    <row r="3786">
      <c r="A3786" t="n">
        <v>3784</v>
      </c>
    </row>
    <row r="3787">
      <c r="A3787" t="n">
        <v>3785</v>
      </c>
    </row>
    <row r="3788">
      <c r="A3788" t="n">
        <v>3786</v>
      </c>
    </row>
    <row r="3789">
      <c r="A3789" t="n">
        <v>3787</v>
      </c>
    </row>
    <row r="3790">
      <c r="A3790" t="n">
        <v>3788</v>
      </c>
    </row>
    <row r="3791">
      <c r="A3791" t="n">
        <v>3789</v>
      </c>
    </row>
    <row r="3792">
      <c r="A3792" t="n">
        <v>3790</v>
      </c>
    </row>
    <row r="3793">
      <c r="A3793" t="n">
        <v>3791</v>
      </c>
    </row>
    <row r="3794">
      <c r="A3794" t="n">
        <v>3792</v>
      </c>
    </row>
    <row r="3795">
      <c r="A3795" t="n">
        <v>3793</v>
      </c>
    </row>
    <row r="3796">
      <c r="A3796" t="n">
        <v>3794</v>
      </c>
    </row>
    <row r="3797">
      <c r="A3797" t="n">
        <v>3795</v>
      </c>
    </row>
    <row r="3798">
      <c r="A3798" t="n">
        <v>3796</v>
      </c>
    </row>
    <row r="3799">
      <c r="A3799" t="n">
        <v>3797</v>
      </c>
    </row>
    <row r="3800">
      <c r="A3800" t="n">
        <v>3798</v>
      </c>
    </row>
    <row r="3801">
      <c r="A3801" t="n">
        <v>3799</v>
      </c>
    </row>
    <row r="3802">
      <c r="A3802" t="n">
        <v>3800</v>
      </c>
    </row>
    <row r="3803">
      <c r="A3803" t="n">
        <v>3801</v>
      </c>
    </row>
    <row r="3804">
      <c r="A3804" t="n">
        <v>3802</v>
      </c>
    </row>
    <row r="3805">
      <c r="A3805" t="n">
        <v>3803</v>
      </c>
    </row>
    <row r="3806">
      <c r="A3806" t="n">
        <v>3804</v>
      </c>
    </row>
    <row r="3807">
      <c r="A3807" t="n">
        <v>3805</v>
      </c>
    </row>
    <row r="3808">
      <c r="A3808" t="n">
        <v>3806</v>
      </c>
    </row>
    <row r="3809">
      <c r="A3809" t="n">
        <v>3807</v>
      </c>
    </row>
    <row r="3810">
      <c r="A3810" t="n">
        <v>3808</v>
      </c>
    </row>
    <row r="3811">
      <c r="A3811" t="n">
        <v>3809</v>
      </c>
    </row>
    <row r="3812">
      <c r="A3812" t="n">
        <v>3810</v>
      </c>
    </row>
    <row r="3813">
      <c r="A3813" t="n">
        <v>3811</v>
      </c>
    </row>
    <row r="3814">
      <c r="A3814" t="n">
        <v>3812</v>
      </c>
    </row>
    <row r="3815">
      <c r="A3815" t="n">
        <v>3813</v>
      </c>
    </row>
    <row r="3816">
      <c r="A3816" t="n">
        <v>3814</v>
      </c>
    </row>
    <row r="3817">
      <c r="A3817" t="n">
        <v>3815</v>
      </c>
    </row>
    <row r="3818">
      <c r="A3818" t="n">
        <v>3816</v>
      </c>
    </row>
    <row r="3819">
      <c r="A3819" t="n">
        <v>3817</v>
      </c>
    </row>
    <row r="3820">
      <c r="A3820" t="n">
        <v>3818</v>
      </c>
    </row>
    <row r="3821">
      <c r="A3821" t="n">
        <v>3819</v>
      </c>
    </row>
    <row r="3822">
      <c r="A3822" t="n">
        <v>3820</v>
      </c>
    </row>
    <row r="3823">
      <c r="A3823" t="n">
        <v>3821</v>
      </c>
    </row>
    <row r="3824">
      <c r="A3824" t="n">
        <v>3822</v>
      </c>
    </row>
    <row r="3825">
      <c r="A3825" t="n">
        <v>3823</v>
      </c>
    </row>
    <row r="3826">
      <c r="A3826" t="n">
        <v>3824</v>
      </c>
    </row>
    <row r="3827">
      <c r="A3827" t="n">
        <v>3825</v>
      </c>
    </row>
    <row r="3828">
      <c r="A3828" t="n">
        <v>3826</v>
      </c>
    </row>
    <row r="3829">
      <c r="A3829" t="n">
        <v>3827</v>
      </c>
    </row>
    <row r="3830">
      <c r="A3830" t="n">
        <v>3828</v>
      </c>
    </row>
    <row r="3831">
      <c r="A3831" t="n">
        <v>3829</v>
      </c>
    </row>
    <row r="3832">
      <c r="A3832" t="n">
        <v>3830</v>
      </c>
    </row>
    <row r="3833">
      <c r="A3833" t="n">
        <v>3831</v>
      </c>
    </row>
    <row r="3834">
      <c r="A3834" t="n">
        <v>3832</v>
      </c>
    </row>
    <row r="3835">
      <c r="A3835" t="n">
        <v>3833</v>
      </c>
    </row>
    <row r="3836">
      <c r="A3836" t="n">
        <v>3834</v>
      </c>
    </row>
    <row r="3837">
      <c r="A3837" t="n">
        <v>3835</v>
      </c>
    </row>
    <row r="3838">
      <c r="A3838" t="n">
        <v>3836</v>
      </c>
    </row>
    <row r="3839">
      <c r="A3839" t="n">
        <v>3837</v>
      </c>
    </row>
    <row r="3840">
      <c r="A3840" t="n">
        <v>3838</v>
      </c>
    </row>
    <row r="3841">
      <c r="A3841" t="n">
        <v>3839</v>
      </c>
    </row>
    <row r="3842">
      <c r="A3842" t="n">
        <v>3840</v>
      </c>
    </row>
    <row r="3843">
      <c r="A3843" t="n">
        <v>3841</v>
      </c>
    </row>
    <row r="3844">
      <c r="A3844" t="n">
        <v>3842</v>
      </c>
    </row>
    <row r="3845">
      <c r="A3845" t="n">
        <v>3843</v>
      </c>
    </row>
    <row r="3846">
      <c r="A3846" t="n">
        <v>3844</v>
      </c>
    </row>
    <row r="3847">
      <c r="A3847" t="n">
        <v>3845</v>
      </c>
    </row>
    <row r="3848">
      <c r="A3848" t="n">
        <v>3846</v>
      </c>
    </row>
    <row r="3849">
      <c r="A3849" t="n">
        <v>3847</v>
      </c>
    </row>
    <row r="3850">
      <c r="A3850" t="n">
        <v>3848</v>
      </c>
    </row>
    <row r="3851">
      <c r="A3851" t="n">
        <v>3849</v>
      </c>
    </row>
    <row r="3852">
      <c r="A3852" t="n">
        <v>3850</v>
      </c>
    </row>
    <row r="3853">
      <c r="A3853" t="n">
        <v>3851</v>
      </c>
    </row>
    <row r="3854">
      <c r="A3854" t="n">
        <v>3852</v>
      </c>
    </row>
    <row r="3855">
      <c r="A3855" t="n">
        <v>3853</v>
      </c>
    </row>
    <row r="3856">
      <c r="A3856" t="n">
        <v>3854</v>
      </c>
    </row>
    <row r="3857">
      <c r="A3857" t="n">
        <v>3855</v>
      </c>
    </row>
    <row r="3858">
      <c r="A3858" t="n">
        <v>3856</v>
      </c>
    </row>
    <row r="3859">
      <c r="A3859" t="n">
        <v>3857</v>
      </c>
    </row>
    <row r="3860">
      <c r="A3860" t="n">
        <v>3858</v>
      </c>
    </row>
    <row r="3861">
      <c r="A3861" t="n">
        <v>3859</v>
      </c>
    </row>
    <row r="3862">
      <c r="A3862" t="n">
        <v>3860</v>
      </c>
    </row>
    <row r="3863">
      <c r="A3863" t="n">
        <v>3861</v>
      </c>
    </row>
    <row r="3864">
      <c r="A3864" t="n">
        <v>3862</v>
      </c>
    </row>
    <row r="3865">
      <c r="A3865" t="n">
        <v>3863</v>
      </c>
    </row>
    <row r="3866">
      <c r="A3866" t="n">
        <v>3864</v>
      </c>
    </row>
    <row r="3867">
      <c r="A3867" t="n">
        <v>3865</v>
      </c>
    </row>
    <row r="3868">
      <c r="A3868" t="n">
        <v>3866</v>
      </c>
    </row>
    <row r="3869">
      <c r="A3869" t="n">
        <v>3867</v>
      </c>
    </row>
    <row r="3870">
      <c r="A3870" t="n">
        <v>3868</v>
      </c>
    </row>
    <row r="3871">
      <c r="A3871" t="n">
        <v>3869</v>
      </c>
    </row>
    <row r="3872">
      <c r="A3872" t="n">
        <v>3870</v>
      </c>
    </row>
    <row r="3873">
      <c r="A3873" t="n">
        <v>3871</v>
      </c>
    </row>
    <row r="3874">
      <c r="A3874" t="n">
        <v>3872</v>
      </c>
    </row>
    <row r="3875">
      <c r="A3875" t="n">
        <v>3873</v>
      </c>
    </row>
    <row r="3876">
      <c r="A3876" t="n">
        <v>3874</v>
      </c>
    </row>
    <row r="3877">
      <c r="A3877" t="n">
        <v>3875</v>
      </c>
    </row>
    <row r="3878">
      <c r="A3878" t="n">
        <v>3876</v>
      </c>
    </row>
    <row r="3879">
      <c r="A3879" t="n">
        <v>3877</v>
      </c>
    </row>
    <row r="3880">
      <c r="A3880" t="n">
        <v>3878</v>
      </c>
    </row>
    <row r="3881">
      <c r="A3881" t="n">
        <v>3879</v>
      </c>
    </row>
    <row r="3882">
      <c r="A3882" t="n">
        <v>3880</v>
      </c>
    </row>
    <row r="3883">
      <c r="A3883" t="n">
        <v>3881</v>
      </c>
    </row>
    <row r="3884">
      <c r="A3884" t="n">
        <v>3882</v>
      </c>
    </row>
    <row r="3885">
      <c r="A3885" t="n">
        <v>3883</v>
      </c>
    </row>
    <row r="3886">
      <c r="A3886" t="n">
        <v>3884</v>
      </c>
    </row>
    <row r="3887">
      <c r="A3887" t="n">
        <v>3885</v>
      </c>
    </row>
    <row r="3888">
      <c r="A3888" t="n">
        <v>3886</v>
      </c>
    </row>
    <row r="3889">
      <c r="A3889" t="n">
        <v>3887</v>
      </c>
    </row>
    <row r="3890">
      <c r="A3890" t="n">
        <v>3888</v>
      </c>
    </row>
    <row r="3891">
      <c r="A3891" t="n">
        <v>3889</v>
      </c>
    </row>
    <row r="3892">
      <c r="A3892" t="n">
        <v>3890</v>
      </c>
    </row>
    <row r="3893">
      <c r="A3893" t="n">
        <v>3891</v>
      </c>
    </row>
    <row r="3894">
      <c r="A3894" t="n">
        <v>3892</v>
      </c>
    </row>
    <row r="3895">
      <c r="A3895" t="n">
        <v>3893</v>
      </c>
    </row>
    <row r="3896">
      <c r="A3896" t="n">
        <v>3894</v>
      </c>
    </row>
    <row r="3897">
      <c r="A3897" t="n">
        <v>3895</v>
      </c>
    </row>
    <row r="3898">
      <c r="A3898" t="n">
        <v>3896</v>
      </c>
    </row>
    <row r="3899">
      <c r="A3899" t="n">
        <v>3897</v>
      </c>
    </row>
    <row r="3900">
      <c r="A3900" t="n">
        <v>3898</v>
      </c>
    </row>
    <row r="3901">
      <c r="A3901" t="n">
        <v>3899</v>
      </c>
    </row>
    <row r="3902">
      <c r="A3902" t="n">
        <v>3900</v>
      </c>
    </row>
    <row r="3903">
      <c r="A3903" t="n">
        <v>3901</v>
      </c>
    </row>
    <row r="3904">
      <c r="A3904" t="n">
        <v>3902</v>
      </c>
    </row>
    <row r="3905">
      <c r="A3905" t="n">
        <v>3903</v>
      </c>
    </row>
    <row r="3906">
      <c r="A3906" t="n">
        <v>3904</v>
      </c>
    </row>
    <row r="3907">
      <c r="A3907" t="n">
        <v>3905</v>
      </c>
    </row>
    <row r="3908">
      <c r="A3908" t="n">
        <v>3906</v>
      </c>
    </row>
    <row r="3909">
      <c r="A3909" t="n">
        <v>3907</v>
      </c>
    </row>
    <row r="3910">
      <c r="A3910" t="n">
        <v>3908</v>
      </c>
    </row>
    <row r="3911">
      <c r="A3911" t="n">
        <v>3909</v>
      </c>
    </row>
    <row r="3912">
      <c r="A3912" t="n">
        <v>3910</v>
      </c>
    </row>
    <row r="3913">
      <c r="A3913" t="n">
        <v>3911</v>
      </c>
    </row>
    <row r="3914">
      <c r="A3914" t="n">
        <v>3912</v>
      </c>
    </row>
    <row r="3915">
      <c r="A3915" t="n">
        <v>3913</v>
      </c>
    </row>
    <row r="3916">
      <c r="A3916" t="n">
        <v>3914</v>
      </c>
    </row>
    <row r="3917">
      <c r="A3917" t="n">
        <v>3915</v>
      </c>
    </row>
    <row r="3918">
      <c r="A3918" t="n">
        <v>3916</v>
      </c>
    </row>
    <row r="3919">
      <c r="A3919" t="n">
        <v>3917</v>
      </c>
    </row>
    <row r="3920">
      <c r="A3920" t="n">
        <v>3918</v>
      </c>
    </row>
    <row r="3921">
      <c r="A3921" t="n">
        <v>3919</v>
      </c>
    </row>
    <row r="3922">
      <c r="A3922" t="n">
        <v>3920</v>
      </c>
    </row>
    <row r="3923">
      <c r="A3923" t="n">
        <v>3921</v>
      </c>
    </row>
    <row r="3924">
      <c r="A3924" t="n">
        <v>3922</v>
      </c>
    </row>
    <row r="3925">
      <c r="A3925" t="n">
        <v>3923</v>
      </c>
    </row>
    <row r="3926">
      <c r="A3926" t="n">
        <v>3924</v>
      </c>
    </row>
    <row r="3927">
      <c r="A3927" t="n">
        <v>3925</v>
      </c>
    </row>
    <row r="3928">
      <c r="A3928" t="n">
        <v>3926</v>
      </c>
    </row>
    <row r="3929">
      <c r="A3929" t="n">
        <v>3927</v>
      </c>
    </row>
    <row r="3930">
      <c r="A3930" t="n">
        <v>3928</v>
      </c>
    </row>
    <row r="3931">
      <c r="A3931" t="n">
        <v>3929</v>
      </c>
    </row>
    <row r="3932">
      <c r="A3932" t="n">
        <v>3930</v>
      </c>
    </row>
    <row r="3933">
      <c r="A3933" t="n">
        <v>3931</v>
      </c>
    </row>
    <row r="3934">
      <c r="A3934" t="n">
        <v>3932</v>
      </c>
    </row>
    <row r="3935">
      <c r="A3935" t="n">
        <v>3933</v>
      </c>
    </row>
    <row r="3936">
      <c r="A3936" t="n">
        <v>3934</v>
      </c>
    </row>
    <row r="3937">
      <c r="A3937" t="n">
        <v>3935</v>
      </c>
    </row>
    <row r="3938">
      <c r="A3938" t="n">
        <v>3936</v>
      </c>
    </row>
    <row r="3939">
      <c r="A3939" t="n">
        <v>3937</v>
      </c>
    </row>
    <row r="3940">
      <c r="A3940" t="n">
        <v>3938</v>
      </c>
    </row>
    <row r="3941">
      <c r="A3941" t="n">
        <v>3939</v>
      </c>
    </row>
    <row r="3942">
      <c r="A3942" t="n">
        <v>3940</v>
      </c>
    </row>
    <row r="3943">
      <c r="A3943" t="n">
        <v>3941</v>
      </c>
    </row>
    <row r="3944">
      <c r="A3944" t="n">
        <v>3942</v>
      </c>
    </row>
    <row r="3945">
      <c r="A3945" t="n">
        <v>3943</v>
      </c>
    </row>
    <row r="3946">
      <c r="A3946" t="n">
        <v>3944</v>
      </c>
    </row>
    <row r="3947">
      <c r="A3947" t="n">
        <v>3945</v>
      </c>
    </row>
    <row r="3948">
      <c r="A3948" t="n">
        <v>3946</v>
      </c>
    </row>
    <row r="3949">
      <c r="A3949" t="n">
        <v>3947</v>
      </c>
    </row>
    <row r="3950">
      <c r="A3950" t="n">
        <v>3948</v>
      </c>
    </row>
    <row r="3951">
      <c r="A3951" t="n">
        <v>3949</v>
      </c>
    </row>
    <row r="3952">
      <c r="A3952" t="n">
        <v>3950</v>
      </c>
    </row>
    <row r="3953">
      <c r="A3953" t="n">
        <v>3951</v>
      </c>
    </row>
    <row r="3954">
      <c r="A3954" t="n">
        <v>3952</v>
      </c>
    </row>
    <row r="3955">
      <c r="A3955" t="n">
        <v>3953</v>
      </c>
    </row>
    <row r="3956">
      <c r="A3956" t="n">
        <v>3954</v>
      </c>
    </row>
    <row r="3957">
      <c r="A3957" t="n">
        <v>3955</v>
      </c>
    </row>
    <row r="3958">
      <c r="A3958" t="n">
        <v>3956</v>
      </c>
    </row>
    <row r="3959">
      <c r="A3959" t="n">
        <v>3957</v>
      </c>
    </row>
    <row r="3960">
      <c r="A3960" t="n">
        <v>3958</v>
      </c>
    </row>
    <row r="3961">
      <c r="A3961" t="n">
        <v>3959</v>
      </c>
    </row>
    <row r="3962">
      <c r="A3962" t="n">
        <v>3960</v>
      </c>
    </row>
    <row r="3963">
      <c r="A3963" t="n">
        <v>3961</v>
      </c>
    </row>
    <row r="3964">
      <c r="A3964" t="n">
        <v>3962</v>
      </c>
    </row>
    <row r="3965">
      <c r="A3965" t="n">
        <v>3963</v>
      </c>
    </row>
    <row r="3966">
      <c r="A3966" t="n">
        <v>3964</v>
      </c>
    </row>
    <row r="3967">
      <c r="A3967" t="n">
        <v>3965</v>
      </c>
    </row>
    <row r="3968">
      <c r="A3968" t="n">
        <v>3966</v>
      </c>
    </row>
    <row r="3969">
      <c r="A3969" t="n">
        <v>3967</v>
      </c>
    </row>
    <row r="3970">
      <c r="A3970" t="n">
        <v>3968</v>
      </c>
    </row>
    <row r="3971">
      <c r="A3971" t="n">
        <v>3969</v>
      </c>
    </row>
    <row r="3972">
      <c r="A3972" t="n">
        <v>3970</v>
      </c>
    </row>
    <row r="3973">
      <c r="A3973" t="n">
        <v>3971</v>
      </c>
    </row>
    <row r="3974">
      <c r="A3974" t="n">
        <v>3972</v>
      </c>
    </row>
    <row r="3975">
      <c r="A3975" t="n">
        <v>3973</v>
      </c>
    </row>
    <row r="3976">
      <c r="A3976" t="n">
        <v>3974</v>
      </c>
    </row>
    <row r="3977">
      <c r="A3977" t="n">
        <v>3975</v>
      </c>
    </row>
    <row r="3978">
      <c r="A3978" t="n">
        <v>3976</v>
      </c>
    </row>
    <row r="3979">
      <c r="A3979" t="n">
        <v>3977</v>
      </c>
    </row>
    <row r="3980">
      <c r="A3980" t="n">
        <v>3978</v>
      </c>
    </row>
    <row r="3981">
      <c r="A3981" t="n">
        <v>3979</v>
      </c>
    </row>
    <row r="3982">
      <c r="A3982" t="n">
        <v>3980</v>
      </c>
    </row>
    <row r="3983">
      <c r="A3983" t="n">
        <v>3981</v>
      </c>
    </row>
    <row r="3984">
      <c r="A3984" t="n">
        <v>3982</v>
      </c>
    </row>
    <row r="3985">
      <c r="A3985" t="n">
        <v>3983</v>
      </c>
    </row>
    <row r="3986">
      <c r="A3986" t="n">
        <v>3984</v>
      </c>
    </row>
    <row r="3987">
      <c r="A3987" t="n">
        <v>3985</v>
      </c>
    </row>
    <row r="3988">
      <c r="A3988" t="n">
        <v>3986</v>
      </c>
    </row>
    <row r="3989">
      <c r="A3989" t="n">
        <v>3987</v>
      </c>
    </row>
    <row r="3990">
      <c r="A3990" t="n">
        <v>3988</v>
      </c>
    </row>
    <row r="3991">
      <c r="A3991" t="n">
        <v>3989</v>
      </c>
    </row>
    <row r="3992">
      <c r="A3992" t="n">
        <v>3990</v>
      </c>
    </row>
    <row r="3993">
      <c r="A3993" t="n">
        <v>3991</v>
      </c>
    </row>
    <row r="3994">
      <c r="A3994" t="n">
        <v>3992</v>
      </c>
    </row>
    <row r="3995">
      <c r="A3995" t="n">
        <v>3993</v>
      </c>
    </row>
    <row r="3996">
      <c r="A3996" t="n">
        <v>3994</v>
      </c>
    </row>
    <row r="3997">
      <c r="A3997" t="n">
        <v>3995</v>
      </c>
    </row>
    <row r="3998">
      <c r="A3998" t="n">
        <v>3996</v>
      </c>
    </row>
    <row r="3999">
      <c r="A3999" t="n">
        <v>3997</v>
      </c>
    </row>
    <row r="4000">
      <c r="A4000" t="n">
        <v>3998</v>
      </c>
    </row>
    <row r="4001">
      <c r="A4001" t="n">
        <v>3999</v>
      </c>
    </row>
    <row r="4002">
      <c r="A4002" t="n">
        <v>4000</v>
      </c>
    </row>
    <row r="4003">
      <c r="A4003" t="n">
        <v>4001</v>
      </c>
    </row>
    <row r="4004">
      <c r="A4004" t="n">
        <v>4002</v>
      </c>
    </row>
    <row r="4005">
      <c r="A4005" t="n">
        <v>4003</v>
      </c>
    </row>
    <row r="4006">
      <c r="A4006" t="n">
        <v>4004</v>
      </c>
    </row>
    <row r="4007">
      <c r="A4007" t="n">
        <v>4005</v>
      </c>
    </row>
    <row r="4008">
      <c r="A4008" t="n">
        <v>4006</v>
      </c>
    </row>
    <row r="4009">
      <c r="A4009" t="n">
        <v>4007</v>
      </c>
    </row>
    <row r="4010">
      <c r="A4010" t="n">
        <v>4008</v>
      </c>
    </row>
    <row r="4011">
      <c r="A4011" t="n">
        <v>4009</v>
      </c>
    </row>
    <row r="4012">
      <c r="A4012" t="n">
        <v>4010</v>
      </c>
    </row>
    <row r="4013">
      <c r="A4013" t="n">
        <v>4011</v>
      </c>
    </row>
    <row r="4014">
      <c r="A4014" t="n">
        <v>4012</v>
      </c>
    </row>
    <row r="4015">
      <c r="A4015" t="n">
        <v>4013</v>
      </c>
    </row>
    <row r="4016">
      <c r="A4016" t="n">
        <v>4014</v>
      </c>
    </row>
    <row r="4017">
      <c r="A4017" t="n">
        <v>4015</v>
      </c>
    </row>
    <row r="4018">
      <c r="A4018" t="n">
        <v>4016</v>
      </c>
    </row>
    <row r="4019">
      <c r="A4019" t="n">
        <v>4017</v>
      </c>
    </row>
    <row r="4020">
      <c r="A4020" t="n">
        <v>4018</v>
      </c>
    </row>
    <row r="4021">
      <c r="A4021" t="n">
        <v>4019</v>
      </c>
    </row>
    <row r="4022">
      <c r="A4022" t="n">
        <v>4020</v>
      </c>
    </row>
    <row r="4023">
      <c r="A4023" t="n">
        <v>4021</v>
      </c>
    </row>
    <row r="4024">
      <c r="A4024" t="n">
        <v>4022</v>
      </c>
    </row>
    <row r="4025">
      <c r="A4025" t="n">
        <v>4023</v>
      </c>
    </row>
    <row r="4026">
      <c r="A4026" t="n">
        <v>4024</v>
      </c>
    </row>
    <row r="4027">
      <c r="A4027" t="n">
        <v>4025</v>
      </c>
    </row>
    <row r="4028">
      <c r="A4028" t="n">
        <v>4026</v>
      </c>
    </row>
    <row r="4029">
      <c r="A4029" t="n">
        <v>4027</v>
      </c>
    </row>
    <row r="4030">
      <c r="A4030" t="n">
        <v>4028</v>
      </c>
    </row>
    <row r="4031">
      <c r="A4031" t="n">
        <v>4029</v>
      </c>
    </row>
    <row r="4032">
      <c r="A4032" t="n">
        <v>4030</v>
      </c>
    </row>
    <row r="4033">
      <c r="A4033" t="n">
        <v>4031</v>
      </c>
    </row>
    <row r="4034">
      <c r="A4034" t="n">
        <v>4032</v>
      </c>
    </row>
    <row r="4035">
      <c r="A4035" t="n">
        <v>4033</v>
      </c>
    </row>
    <row r="4036">
      <c r="A4036" t="n">
        <v>4034</v>
      </c>
    </row>
    <row r="4037">
      <c r="A4037" t="n">
        <v>4035</v>
      </c>
    </row>
    <row r="4038">
      <c r="A4038" t="n">
        <v>4036</v>
      </c>
    </row>
    <row r="4039">
      <c r="A4039" t="n">
        <v>4037</v>
      </c>
    </row>
    <row r="4040">
      <c r="A4040" t="n">
        <v>4038</v>
      </c>
    </row>
    <row r="4041">
      <c r="A4041" t="n">
        <v>4039</v>
      </c>
    </row>
    <row r="4042">
      <c r="A4042" t="n">
        <v>4040</v>
      </c>
    </row>
    <row r="4043">
      <c r="A4043" t="n">
        <v>4041</v>
      </c>
    </row>
    <row r="4044">
      <c r="A4044" t="n">
        <v>4042</v>
      </c>
    </row>
    <row r="4045">
      <c r="A4045" t="n">
        <v>4043</v>
      </c>
    </row>
    <row r="4046">
      <c r="A4046" t="n">
        <v>4044</v>
      </c>
    </row>
    <row r="4047">
      <c r="A4047" t="n">
        <v>4045</v>
      </c>
    </row>
    <row r="4048">
      <c r="A4048" t="n">
        <v>4046</v>
      </c>
    </row>
    <row r="4049">
      <c r="A4049" t="n">
        <v>4047</v>
      </c>
    </row>
    <row r="4050">
      <c r="A4050" t="n">
        <v>4048</v>
      </c>
    </row>
    <row r="4051">
      <c r="A4051" t="n">
        <v>4049</v>
      </c>
    </row>
    <row r="4052">
      <c r="A4052" t="n">
        <v>4050</v>
      </c>
    </row>
    <row r="4053">
      <c r="A4053" t="n">
        <v>4051</v>
      </c>
    </row>
    <row r="4054">
      <c r="A4054" t="n">
        <v>4052</v>
      </c>
    </row>
    <row r="4055">
      <c r="A4055" t="n">
        <v>4053</v>
      </c>
    </row>
    <row r="4056">
      <c r="A4056" t="n">
        <v>4054</v>
      </c>
    </row>
    <row r="4057">
      <c r="A4057" t="n">
        <v>4055</v>
      </c>
    </row>
    <row r="4058">
      <c r="A4058" t="n">
        <v>4056</v>
      </c>
    </row>
    <row r="4059">
      <c r="A4059" t="n">
        <v>4057</v>
      </c>
    </row>
    <row r="4060">
      <c r="A4060" t="n">
        <v>4058</v>
      </c>
    </row>
    <row r="4061">
      <c r="A4061" t="n">
        <v>4059</v>
      </c>
    </row>
    <row r="4062">
      <c r="A4062" t="n">
        <v>4060</v>
      </c>
    </row>
    <row r="4063">
      <c r="A4063" t="n">
        <v>4061</v>
      </c>
    </row>
    <row r="4064">
      <c r="A4064" t="n">
        <v>4062</v>
      </c>
    </row>
    <row r="4065">
      <c r="A4065" t="n">
        <v>4063</v>
      </c>
    </row>
    <row r="4066">
      <c r="A4066" t="n">
        <v>4064</v>
      </c>
    </row>
    <row r="4067">
      <c r="A4067" t="n">
        <v>4065</v>
      </c>
    </row>
    <row r="4068">
      <c r="A4068" t="n">
        <v>4066</v>
      </c>
    </row>
    <row r="4069">
      <c r="A4069" t="n">
        <v>4067</v>
      </c>
    </row>
    <row r="4070">
      <c r="A4070" t="n">
        <v>4068</v>
      </c>
    </row>
    <row r="4071">
      <c r="A4071" t="n">
        <v>4069</v>
      </c>
    </row>
    <row r="4072">
      <c r="A4072" t="n">
        <v>4070</v>
      </c>
    </row>
    <row r="4073">
      <c r="A4073" t="n">
        <v>4071</v>
      </c>
    </row>
    <row r="4074">
      <c r="A4074" t="n">
        <v>4072</v>
      </c>
    </row>
    <row r="4075">
      <c r="A4075" t="n">
        <v>4073</v>
      </c>
    </row>
    <row r="4076">
      <c r="A4076" t="n">
        <v>4074</v>
      </c>
    </row>
    <row r="4077">
      <c r="A4077" t="n">
        <v>4075</v>
      </c>
    </row>
    <row r="4078">
      <c r="A4078" t="n">
        <v>4076</v>
      </c>
    </row>
    <row r="4079">
      <c r="A4079" t="n">
        <v>4077</v>
      </c>
    </row>
    <row r="4080">
      <c r="A4080" t="n">
        <v>4078</v>
      </c>
    </row>
    <row r="4081">
      <c r="A4081" t="n">
        <v>4079</v>
      </c>
    </row>
    <row r="4082">
      <c r="A4082" t="n">
        <v>4080</v>
      </c>
    </row>
    <row r="4083">
      <c r="A4083" t="n">
        <v>4081</v>
      </c>
    </row>
    <row r="4084">
      <c r="A4084" t="n">
        <v>4082</v>
      </c>
    </row>
    <row r="4085">
      <c r="A4085" t="n">
        <v>4083</v>
      </c>
    </row>
    <row r="4086">
      <c r="A4086" t="n">
        <v>4084</v>
      </c>
    </row>
    <row r="4087">
      <c r="A4087" t="n">
        <v>4085</v>
      </c>
    </row>
    <row r="4088">
      <c r="A4088" t="n">
        <v>4086</v>
      </c>
    </row>
    <row r="4089">
      <c r="A4089" t="n">
        <v>4087</v>
      </c>
    </row>
    <row r="4090">
      <c r="A4090" t="n">
        <v>4088</v>
      </c>
    </row>
    <row r="4091">
      <c r="A4091" t="n">
        <v>4089</v>
      </c>
    </row>
    <row r="4092">
      <c r="A4092" t="n">
        <v>4090</v>
      </c>
    </row>
    <row r="4093">
      <c r="A4093" t="n">
        <v>4091</v>
      </c>
    </row>
    <row r="4094">
      <c r="A4094" t="n">
        <v>4092</v>
      </c>
    </row>
    <row r="4095">
      <c r="A4095" t="n">
        <v>4093</v>
      </c>
    </row>
    <row r="4096">
      <c r="A4096" t="n">
        <v>4094</v>
      </c>
    </row>
    <row r="4097">
      <c r="A4097" t="n">
        <v>4095</v>
      </c>
    </row>
    <row r="4098">
      <c r="A4098" t="n">
        <v>4096</v>
      </c>
    </row>
    <row r="4099">
      <c r="A4099" t="n">
        <v>4097</v>
      </c>
    </row>
    <row r="4100">
      <c r="A4100" t="n">
        <v>4098</v>
      </c>
    </row>
    <row r="4101">
      <c r="A4101" t="n">
        <v>4099</v>
      </c>
    </row>
    <row r="4102">
      <c r="A4102" t="n">
        <v>4100</v>
      </c>
    </row>
    <row r="4103">
      <c r="A4103" t="n">
        <v>4101</v>
      </c>
    </row>
    <row r="4104">
      <c r="A4104" t="n">
        <v>4102</v>
      </c>
    </row>
    <row r="4105">
      <c r="A4105" t="n">
        <v>4103</v>
      </c>
    </row>
    <row r="4106">
      <c r="A4106" t="n">
        <v>4104</v>
      </c>
    </row>
    <row r="4107">
      <c r="A4107" t="n">
        <v>4105</v>
      </c>
    </row>
    <row r="4108">
      <c r="A4108" t="n">
        <v>4106</v>
      </c>
    </row>
    <row r="4109">
      <c r="A4109" t="n">
        <v>4107</v>
      </c>
    </row>
    <row r="4110">
      <c r="A4110" t="n">
        <v>4108</v>
      </c>
    </row>
    <row r="4111">
      <c r="A4111" t="n">
        <v>4109</v>
      </c>
    </row>
    <row r="4112">
      <c r="A4112" t="n">
        <v>4110</v>
      </c>
    </row>
    <row r="4113">
      <c r="A4113" t="n">
        <v>4111</v>
      </c>
    </row>
    <row r="4114">
      <c r="A4114" t="n">
        <v>4112</v>
      </c>
    </row>
    <row r="4115">
      <c r="A4115" t="n">
        <v>4113</v>
      </c>
    </row>
    <row r="4116">
      <c r="A4116" t="n">
        <v>4114</v>
      </c>
    </row>
    <row r="4117">
      <c r="A4117" t="n">
        <v>4115</v>
      </c>
    </row>
    <row r="4118">
      <c r="A4118" t="n">
        <v>4116</v>
      </c>
    </row>
    <row r="4119">
      <c r="A4119" t="n">
        <v>4117</v>
      </c>
    </row>
    <row r="4120">
      <c r="A4120" t="n">
        <v>4118</v>
      </c>
    </row>
    <row r="4121">
      <c r="A4121" t="n">
        <v>4119</v>
      </c>
    </row>
    <row r="4122">
      <c r="A4122" t="n">
        <v>4120</v>
      </c>
    </row>
    <row r="4123">
      <c r="A4123" t="n">
        <v>4121</v>
      </c>
    </row>
    <row r="4124">
      <c r="A4124" t="n">
        <v>4122</v>
      </c>
    </row>
    <row r="4125">
      <c r="A4125" t="n">
        <v>4123</v>
      </c>
    </row>
    <row r="4126">
      <c r="A4126" t="n">
        <v>4124</v>
      </c>
    </row>
    <row r="4127">
      <c r="A4127" t="n">
        <v>4125</v>
      </c>
    </row>
    <row r="4128">
      <c r="A4128" t="n">
        <v>4126</v>
      </c>
    </row>
    <row r="4129">
      <c r="A4129" t="n">
        <v>4127</v>
      </c>
    </row>
    <row r="4130">
      <c r="A4130" t="n">
        <v>4128</v>
      </c>
    </row>
    <row r="4131">
      <c r="A4131" t="n">
        <v>4129</v>
      </c>
    </row>
    <row r="4132">
      <c r="A4132" t="n">
        <v>4130</v>
      </c>
    </row>
    <row r="4133">
      <c r="A4133" t="n">
        <v>4131</v>
      </c>
    </row>
    <row r="4134">
      <c r="A4134" t="n">
        <v>4132</v>
      </c>
    </row>
    <row r="4135">
      <c r="A4135" t="n">
        <v>4133</v>
      </c>
    </row>
    <row r="4136">
      <c r="A4136" t="n">
        <v>4134</v>
      </c>
    </row>
    <row r="4137">
      <c r="A4137" t="n">
        <v>4135</v>
      </c>
    </row>
    <row r="4138">
      <c r="A4138" t="n">
        <v>4136</v>
      </c>
    </row>
    <row r="4139">
      <c r="A4139" t="n">
        <v>4137</v>
      </c>
    </row>
    <row r="4140">
      <c r="A4140" t="n">
        <v>4138</v>
      </c>
    </row>
    <row r="4141">
      <c r="A4141" t="n">
        <v>4139</v>
      </c>
    </row>
    <row r="4142">
      <c r="A4142" t="n">
        <v>4140</v>
      </c>
    </row>
    <row r="4143">
      <c r="A4143" t="n">
        <v>4141</v>
      </c>
    </row>
    <row r="4144">
      <c r="A4144" t="n">
        <v>4142</v>
      </c>
    </row>
    <row r="4145">
      <c r="A4145" t="n">
        <v>4143</v>
      </c>
    </row>
    <row r="4146">
      <c r="A4146" t="n">
        <v>4144</v>
      </c>
    </row>
    <row r="4147">
      <c r="A4147" t="n">
        <v>4145</v>
      </c>
    </row>
    <row r="4148">
      <c r="A4148" t="n">
        <v>4146</v>
      </c>
    </row>
    <row r="4149">
      <c r="A4149" t="n">
        <v>4147</v>
      </c>
    </row>
    <row r="4150">
      <c r="A4150" t="n">
        <v>4148</v>
      </c>
    </row>
    <row r="4151">
      <c r="A4151" t="n">
        <v>4149</v>
      </c>
    </row>
    <row r="4152">
      <c r="A4152" t="n">
        <v>4150</v>
      </c>
    </row>
    <row r="4153">
      <c r="A4153" t="n">
        <v>4151</v>
      </c>
    </row>
    <row r="4154">
      <c r="A4154" t="n">
        <v>4152</v>
      </c>
    </row>
    <row r="4155">
      <c r="A4155" t="n">
        <v>4153</v>
      </c>
    </row>
    <row r="4156">
      <c r="A4156" t="n">
        <v>4154</v>
      </c>
    </row>
    <row r="4157">
      <c r="A4157" t="n">
        <v>4155</v>
      </c>
    </row>
    <row r="4158">
      <c r="A4158" t="n">
        <v>4156</v>
      </c>
    </row>
    <row r="4159">
      <c r="A4159" t="n">
        <v>4157</v>
      </c>
    </row>
    <row r="4160">
      <c r="A4160" t="n">
        <v>4158</v>
      </c>
    </row>
    <row r="4161">
      <c r="A4161" t="n">
        <v>4159</v>
      </c>
    </row>
    <row r="4162">
      <c r="A4162" t="n">
        <v>4160</v>
      </c>
    </row>
    <row r="4163">
      <c r="A4163" t="n">
        <v>4161</v>
      </c>
    </row>
    <row r="4164">
      <c r="A4164" t="n">
        <v>4162</v>
      </c>
    </row>
    <row r="4165">
      <c r="A4165" t="n">
        <v>4163</v>
      </c>
    </row>
    <row r="4166">
      <c r="A4166" t="n">
        <v>4164</v>
      </c>
    </row>
    <row r="4167">
      <c r="A4167" t="n">
        <v>4165</v>
      </c>
    </row>
    <row r="4168">
      <c r="A4168" t="n">
        <v>4166</v>
      </c>
    </row>
    <row r="4169">
      <c r="A4169" t="n">
        <v>4167</v>
      </c>
    </row>
    <row r="4170">
      <c r="A4170" t="n">
        <v>4168</v>
      </c>
    </row>
    <row r="4171">
      <c r="A4171" t="n">
        <v>4169</v>
      </c>
    </row>
    <row r="4172">
      <c r="A4172" t="n">
        <v>4170</v>
      </c>
    </row>
    <row r="4173">
      <c r="A4173" t="n">
        <v>4171</v>
      </c>
    </row>
    <row r="4174">
      <c r="A4174" t="n">
        <v>4172</v>
      </c>
    </row>
    <row r="4175">
      <c r="A4175" t="n">
        <v>4173</v>
      </c>
    </row>
    <row r="4176">
      <c r="A4176" t="n">
        <v>4174</v>
      </c>
    </row>
    <row r="4177">
      <c r="A4177" t="n">
        <v>4175</v>
      </c>
    </row>
    <row r="4178">
      <c r="A4178" t="n">
        <v>4176</v>
      </c>
    </row>
    <row r="4179">
      <c r="A4179" t="n">
        <v>4177</v>
      </c>
    </row>
    <row r="4180">
      <c r="A4180" t="n">
        <v>4178</v>
      </c>
    </row>
    <row r="4181">
      <c r="A4181" t="n">
        <v>4179</v>
      </c>
    </row>
    <row r="4182">
      <c r="A4182" t="n">
        <v>4180</v>
      </c>
    </row>
    <row r="4183">
      <c r="A4183" t="n">
        <v>4181</v>
      </c>
    </row>
    <row r="4184">
      <c r="A4184" t="n">
        <v>4182</v>
      </c>
    </row>
    <row r="4185">
      <c r="A4185" t="n">
        <v>4183</v>
      </c>
    </row>
    <row r="4186">
      <c r="A4186" t="n">
        <v>4184</v>
      </c>
    </row>
    <row r="4187">
      <c r="A4187" t="n">
        <v>4185</v>
      </c>
    </row>
    <row r="4188">
      <c r="A4188" t="n">
        <v>4186</v>
      </c>
    </row>
    <row r="4189">
      <c r="A4189" t="n">
        <v>4187</v>
      </c>
    </row>
    <row r="4190">
      <c r="A4190" t="n">
        <v>4188</v>
      </c>
    </row>
    <row r="4191">
      <c r="A4191" t="n">
        <v>4189</v>
      </c>
    </row>
    <row r="4192">
      <c r="A4192" t="n">
        <v>4190</v>
      </c>
    </row>
    <row r="4193">
      <c r="A4193" t="n">
        <v>4191</v>
      </c>
    </row>
    <row r="4194">
      <c r="A4194" t="n">
        <v>4192</v>
      </c>
    </row>
    <row r="4195">
      <c r="A4195" t="n">
        <v>4193</v>
      </c>
    </row>
    <row r="4196">
      <c r="A4196" t="n">
        <v>4194</v>
      </c>
    </row>
    <row r="4197">
      <c r="A4197" t="n">
        <v>4195</v>
      </c>
    </row>
    <row r="4198">
      <c r="A4198" t="n">
        <v>4196</v>
      </c>
    </row>
    <row r="4199">
      <c r="A4199" t="n">
        <v>4197</v>
      </c>
    </row>
    <row r="4200">
      <c r="A4200" t="n">
        <v>4198</v>
      </c>
    </row>
    <row r="4201">
      <c r="A4201" t="n">
        <v>4199</v>
      </c>
    </row>
    <row r="4202">
      <c r="A4202" t="n">
        <v>4200</v>
      </c>
    </row>
    <row r="4203">
      <c r="A4203" t="n">
        <v>4201</v>
      </c>
    </row>
    <row r="4204">
      <c r="A4204" t="n">
        <v>4202</v>
      </c>
    </row>
    <row r="4205">
      <c r="A4205" t="n">
        <v>4203</v>
      </c>
    </row>
    <row r="4206">
      <c r="A4206" t="n">
        <v>4204</v>
      </c>
    </row>
    <row r="4207">
      <c r="A4207" t="n">
        <v>4205</v>
      </c>
    </row>
    <row r="4208">
      <c r="A4208" t="n">
        <v>4206</v>
      </c>
    </row>
    <row r="4209">
      <c r="A4209" t="n">
        <v>4207</v>
      </c>
    </row>
    <row r="4210">
      <c r="A4210" t="n">
        <v>4208</v>
      </c>
    </row>
    <row r="4211">
      <c r="A4211" t="n">
        <v>4209</v>
      </c>
    </row>
    <row r="4212">
      <c r="A4212" t="n">
        <v>4210</v>
      </c>
    </row>
    <row r="4213">
      <c r="A4213" t="n">
        <v>4211</v>
      </c>
    </row>
    <row r="4214">
      <c r="A4214" t="n">
        <v>4212</v>
      </c>
    </row>
    <row r="4215">
      <c r="A4215" t="n">
        <v>4213</v>
      </c>
    </row>
    <row r="4216">
      <c r="A4216" t="n">
        <v>4214</v>
      </c>
    </row>
    <row r="4217">
      <c r="A4217" t="n">
        <v>4215</v>
      </c>
    </row>
    <row r="4218">
      <c r="A4218" t="n">
        <v>4216</v>
      </c>
    </row>
    <row r="4219">
      <c r="A4219" t="n">
        <v>4217</v>
      </c>
    </row>
    <row r="4220">
      <c r="A4220" t="n">
        <v>4218</v>
      </c>
    </row>
    <row r="4221">
      <c r="A4221" t="n">
        <v>4219</v>
      </c>
    </row>
    <row r="4222">
      <c r="A4222" t="n">
        <v>4220</v>
      </c>
    </row>
    <row r="4223">
      <c r="A4223" t="n">
        <v>4221</v>
      </c>
    </row>
    <row r="4224">
      <c r="A4224" t="n">
        <v>4222</v>
      </c>
    </row>
    <row r="4225">
      <c r="A4225" t="n">
        <v>4223</v>
      </c>
    </row>
    <row r="4226">
      <c r="A4226" t="n">
        <v>4224</v>
      </c>
    </row>
    <row r="4227">
      <c r="A4227" t="n">
        <v>4225</v>
      </c>
    </row>
    <row r="4228">
      <c r="A4228" t="n">
        <v>4226</v>
      </c>
    </row>
    <row r="4229">
      <c r="A4229" t="n">
        <v>4227</v>
      </c>
    </row>
    <row r="4230">
      <c r="A4230" t="n">
        <v>4228</v>
      </c>
    </row>
    <row r="4231">
      <c r="A4231" t="n">
        <v>4229</v>
      </c>
    </row>
    <row r="4232">
      <c r="A4232" t="n">
        <v>4230</v>
      </c>
    </row>
    <row r="4233">
      <c r="A4233" t="n">
        <v>4231</v>
      </c>
    </row>
    <row r="4234">
      <c r="A4234" t="n">
        <v>4232</v>
      </c>
    </row>
    <row r="4235">
      <c r="A4235" t="n">
        <v>4233</v>
      </c>
    </row>
    <row r="4236">
      <c r="A4236" t="n">
        <v>4234</v>
      </c>
    </row>
    <row r="4237">
      <c r="A4237" t="n">
        <v>4235</v>
      </c>
    </row>
    <row r="4238">
      <c r="A4238" t="n">
        <v>4236</v>
      </c>
    </row>
    <row r="4239">
      <c r="A4239" t="n">
        <v>4237</v>
      </c>
    </row>
    <row r="4240">
      <c r="A4240" t="n">
        <v>4238</v>
      </c>
    </row>
    <row r="4241">
      <c r="A4241" t="n">
        <v>4239</v>
      </c>
    </row>
    <row r="4242">
      <c r="A4242" t="n">
        <v>4240</v>
      </c>
    </row>
    <row r="4243">
      <c r="A4243" t="n">
        <v>4241</v>
      </c>
    </row>
    <row r="4244">
      <c r="A4244" t="n">
        <v>4242</v>
      </c>
    </row>
    <row r="4245">
      <c r="A4245" t="n">
        <v>4243</v>
      </c>
    </row>
    <row r="4246">
      <c r="A4246" t="n">
        <v>4244</v>
      </c>
    </row>
    <row r="4247">
      <c r="A4247" t="n">
        <v>4245</v>
      </c>
    </row>
    <row r="4248">
      <c r="A4248" t="n">
        <v>4246</v>
      </c>
    </row>
    <row r="4249">
      <c r="A4249" t="n">
        <v>4247</v>
      </c>
    </row>
    <row r="4250">
      <c r="A4250" t="n">
        <v>4248</v>
      </c>
    </row>
    <row r="4251">
      <c r="A4251" t="n">
        <v>4249</v>
      </c>
    </row>
    <row r="4252">
      <c r="A4252" t="n">
        <v>4250</v>
      </c>
    </row>
    <row r="4253">
      <c r="A4253" t="n">
        <v>4251</v>
      </c>
    </row>
    <row r="4254">
      <c r="A4254" t="n">
        <v>4252</v>
      </c>
    </row>
    <row r="4255">
      <c r="A4255" t="n">
        <v>4253</v>
      </c>
    </row>
    <row r="4256">
      <c r="A4256" t="n">
        <v>4254</v>
      </c>
    </row>
    <row r="4257">
      <c r="A4257" t="n">
        <v>4255</v>
      </c>
    </row>
    <row r="4258">
      <c r="A4258" t="n">
        <v>4256</v>
      </c>
    </row>
    <row r="4259">
      <c r="A4259" t="n">
        <v>4257</v>
      </c>
    </row>
    <row r="4260">
      <c r="A4260" t="n">
        <v>4258</v>
      </c>
    </row>
    <row r="4261">
      <c r="A4261" t="n">
        <v>4259</v>
      </c>
    </row>
    <row r="4262">
      <c r="A4262" t="n">
        <v>4260</v>
      </c>
    </row>
    <row r="4263">
      <c r="A4263" t="n">
        <v>4261</v>
      </c>
    </row>
    <row r="4264">
      <c r="A4264" t="n">
        <v>4262</v>
      </c>
    </row>
    <row r="4265">
      <c r="A4265" t="n">
        <v>4263</v>
      </c>
    </row>
    <row r="4266">
      <c r="A4266" t="n">
        <v>4264</v>
      </c>
    </row>
    <row r="4267">
      <c r="A4267" t="n">
        <v>4265</v>
      </c>
    </row>
    <row r="4268">
      <c r="A4268" t="n">
        <v>4266</v>
      </c>
    </row>
    <row r="4269">
      <c r="A4269" t="n">
        <v>4267</v>
      </c>
    </row>
    <row r="4270">
      <c r="A4270" t="n">
        <v>4268</v>
      </c>
    </row>
    <row r="4271">
      <c r="A4271" t="n">
        <v>4269</v>
      </c>
    </row>
    <row r="4272">
      <c r="A4272" t="n">
        <v>4270</v>
      </c>
    </row>
    <row r="4273">
      <c r="A4273" t="n">
        <v>4271</v>
      </c>
    </row>
    <row r="4274">
      <c r="A4274" t="n">
        <v>4272</v>
      </c>
    </row>
    <row r="4275">
      <c r="A4275" t="n">
        <v>4273</v>
      </c>
    </row>
    <row r="4276">
      <c r="A4276" t="n">
        <v>4274</v>
      </c>
    </row>
    <row r="4277">
      <c r="A4277" t="n">
        <v>4275</v>
      </c>
    </row>
    <row r="4278">
      <c r="A4278" t="n">
        <v>4276</v>
      </c>
    </row>
    <row r="4279">
      <c r="A4279" t="n">
        <v>4277</v>
      </c>
    </row>
    <row r="4280">
      <c r="A4280" t="n">
        <v>4278</v>
      </c>
    </row>
    <row r="4281">
      <c r="A4281" t="n">
        <v>4279</v>
      </c>
    </row>
    <row r="4282">
      <c r="A4282" t="n">
        <v>4280</v>
      </c>
    </row>
    <row r="4283">
      <c r="A4283" t="n">
        <v>4281</v>
      </c>
    </row>
    <row r="4284">
      <c r="A4284" t="n">
        <v>4282</v>
      </c>
    </row>
    <row r="4285">
      <c r="A4285" t="n">
        <v>4283</v>
      </c>
    </row>
    <row r="4286">
      <c r="A4286" t="n">
        <v>4284</v>
      </c>
    </row>
    <row r="4287">
      <c r="A4287" t="n">
        <v>4285</v>
      </c>
    </row>
    <row r="4288">
      <c r="A4288" t="n">
        <v>4286</v>
      </c>
    </row>
    <row r="4289">
      <c r="A4289" t="n">
        <v>4287</v>
      </c>
    </row>
    <row r="4290">
      <c r="A4290" t="n">
        <v>4288</v>
      </c>
    </row>
    <row r="4291">
      <c r="A4291" t="n">
        <v>4289</v>
      </c>
    </row>
    <row r="4292">
      <c r="A4292" t="n">
        <v>4290</v>
      </c>
    </row>
    <row r="4293">
      <c r="A4293" t="n">
        <v>4291</v>
      </c>
    </row>
    <row r="4294">
      <c r="A4294" t="n">
        <v>4292</v>
      </c>
    </row>
    <row r="4295">
      <c r="A4295" t="n">
        <v>4293</v>
      </c>
    </row>
    <row r="4296">
      <c r="A4296" t="n">
        <v>4294</v>
      </c>
    </row>
    <row r="4297">
      <c r="A4297" t="n">
        <v>4295</v>
      </c>
    </row>
    <row r="4298">
      <c r="A4298" t="n">
        <v>4296</v>
      </c>
    </row>
    <row r="4299">
      <c r="A4299" t="n">
        <v>4297</v>
      </c>
    </row>
    <row r="4300">
      <c r="A4300" t="n">
        <v>4298</v>
      </c>
    </row>
    <row r="4301">
      <c r="A4301" t="n">
        <v>4299</v>
      </c>
    </row>
    <row r="4302">
      <c r="A4302" t="n">
        <v>4300</v>
      </c>
    </row>
    <row r="4303">
      <c r="A4303" t="n">
        <v>4301</v>
      </c>
    </row>
    <row r="4304">
      <c r="A4304" t="n">
        <v>4302</v>
      </c>
    </row>
    <row r="4305">
      <c r="A4305" t="n">
        <v>4303</v>
      </c>
    </row>
    <row r="4306">
      <c r="A4306" t="n">
        <v>4304</v>
      </c>
    </row>
    <row r="4307">
      <c r="A4307" t="n">
        <v>4305</v>
      </c>
    </row>
    <row r="4308">
      <c r="A4308" t="n">
        <v>4306</v>
      </c>
    </row>
    <row r="4309">
      <c r="A4309" t="n">
        <v>4307</v>
      </c>
    </row>
    <row r="4310">
      <c r="A4310" t="n">
        <v>4308</v>
      </c>
    </row>
    <row r="4311">
      <c r="A4311" t="n">
        <v>4309</v>
      </c>
    </row>
    <row r="4312">
      <c r="A4312" t="n">
        <v>4310</v>
      </c>
    </row>
    <row r="4313">
      <c r="A4313" t="n">
        <v>4311</v>
      </c>
    </row>
    <row r="4314">
      <c r="A4314" t="n">
        <v>4312</v>
      </c>
    </row>
    <row r="4315">
      <c r="A4315" t="n">
        <v>4313</v>
      </c>
    </row>
    <row r="4316">
      <c r="A4316" t="n">
        <v>4314</v>
      </c>
    </row>
    <row r="4317">
      <c r="A4317" t="n">
        <v>4315</v>
      </c>
    </row>
    <row r="4318">
      <c r="A4318" t="n">
        <v>4316</v>
      </c>
    </row>
    <row r="4319">
      <c r="A4319" t="n">
        <v>4317</v>
      </c>
    </row>
    <row r="4320">
      <c r="A4320" t="n">
        <v>4318</v>
      </c>
    </row>
    <row r="4321">
      <c r="A4321" t="n">
        <v>4319</v>
      </c>
    </row>
    <row r="4322">
      <c r="A4322" t="n">
        <v>4320</v>
      </c>
    </row>
    <row r="4323">
      <c r="A4323" t="n">
        <v>4321</v>
      </c>
    </row>
    <row r="4324">
      <c r="A4324" t="n">
        <v>4322</v>
      </c>
    </row>
    <row r="4325">
      <c r="A4325" t="n">
        <v>4323</v>
      </c>
    </row>
    <row r="4326">
      <c r="A4326" t="n">
        <v>4324</v>
      </c>
    </row>
    <row r="4327">
      <c r="A4327" t="n">
        <v>4325</v>
      </c>
    </row>
    <row r="4328">
      <c r="A4328" t="n">
        <v>4326</v>
      </c>
    </row>
    <row r="4329">
      <c r="A4329" t="n">
        <v>4327</v>
      </c>
    </row>
    <row r="4330">
      <c r="A4330" t="n">
        <v>4328</v>
      </c>
    </row>
    <row r="4331">
      <c r="A4331" t="n">
        <v>4329</v>
      </c>
    </row>
    <row r="4332">
      <c r="A4332" t="n">
        <v>4330</v>
      </c>
    </row>
    <row r="4333">
      <c r="A4333" t="n">
        <v>4331</v>
      </c>
    </row>
    <row r="4334">
      <c r="A4334" t="n">
        <v>4332</v>
      </c>
    </row>
    <row r="4335">
      <c r="A4335" t="n">
        <v>4333</v>
      </c>
    </row>
    <row r="4336">
      <c r="A4336" t="n">
        <v>4334</v>
      </c>
    </row>
    <row r="4337">
      <c r="A4337" t="n">
        <v>4335</v>
      </c>
    </row>
    <row r="4338">
      <c r="A4338" t="n">
        <v>4336</v>
      </c>
    </row>
    <row r="4339">
      <c r="A4339" t="n">
        <v>4337</v>
      </c>
    </row>
    <row r="4340">
      <c r="A4340" t="n">
        <v>4338</v>
      </c>
    </row>
    <row r="4341">
      <c r="A4341" t="n">
        <v>4339</v>
      </c>
    </row>
    <row r="4342">
      <c r="A4342" t="n">
        <v>4340</v>
      </c>
    </row>
    <row r="4343">
      <c r="A4343" t="n">
        <v>4341</v>
      </c>
    </row>
    <row r="4344">
      <c r="A4344" t="n">
        <v>4342</v>
      </c>
    </row>
    <row r="4345">
      <c r="A4345" t="n">
        <v>4343</v>
      </c>
    </row>
    <row r="4346">
      <c r="A4346" t="n">
        <v>4344</v>
      </c>
    </row>
    <row r="4347">
      <c r="A4347" t="n">
        <v>4345</v>
      </c>
    </row>
    <row r="4348">
      <c r="A4348" t="n">
        <v>4346</v>
      </c>
    </row>
    <row r="4349">
      <c r="A4349" t="n">
        <v>4347</v>
      </c>
    </row>
    <row r="4350">
      <c r="A4350" t="n">
        <v>4348</v>
      </c>
    </row>
    <row r="4351">
      <c r="A4351" t="n">
        <v>4349</v>
      </c>
    </row>
    <row r="4352">
      <c r="A4352" t="n">
        <v>4350</v>
      </c>
    </row>
    <row r="4353">
      <c r="A4353" t="n">
        <v>4351</v>
      </c>
    </row>
    <row r="4354">
      <c r="A4354" t="n">
        <v>4352</v>
      </c>
    </row>
    <row r="4355">
      <c r="A4355" t="n">
        <v>4353</v>
      </c>
    </row>
    <row r="4356">
      <c r="A4356" t="n">
        <v>4354</v>
      </c>
    </row>
    <row r="4357">
      <c r="A4357" t="n">
        <v>4355</v>
      </c>
    </row>
    <row r="4358">
      <c r="A4358" t="n">
        <v>4356</v>
      </c>
    </row>
    <row r="4359">
      <c r="A4359" t="n">
        <v>4357</v>
      </c>
    </row>
    <row r="4360">
      <c r="A4360" t="n">
        <v>4358</v>
      </c>
    </row>
    <row r="4361">
      <c r="A4361" t="n">
        <v>4359</v>
      </c>
    </row>
    <row r="4362">
      <c r="A4362" t="n">
        <v>4360</v>
      </c>
    </row>
    <row r="4363">
      <c r="A4363" t="n">
        <v>4361</v>
      </c>
    </row>
    <row r="4364">
      <c r="A4364" t="n">
        <v>4362</v>
      </c>
    </row>
    <row r="4365">
      <c r="A4365" t="n">
        <v>4363</v>
      </c>
    </row>
    <row r="4366">
      <c r="A4366" t="n">
        <v>4364</v>
      </c>
    </row>
    <row r="4367">
      <c r="A4367" t="n">
        <v>4365</v>
      </c>
    </row>
    <row r="4368">
      <c r="A4368" t="n">
        <v>4366</v>
      </c>
    </row>
    <row r="4369">
      <c r="A4369" t="n">
        <v>4367</v>
      </c>
    </row>
    <row r="4370">
      <c r="A4370" t="n">
        <v>4368</v>
      </c>
    </row>
    <row r="4371">
      <c r="A4371" t="n">
        <v>4369</v>
      </c>
    </row>
    <row r="4372">
      <c r="A4372" t="n">
        <v>4370</v>
      </c>
    </row>
    <row r="4373">
      <c r="A4373" t="n">
        <v>4371</v>
      </c>
    </row>
    <row r="4374">
      <c r="A4374" t="n">
        <v>4372</v>
      </c>
    </row>
    <row r="4375">
      <c r="A4375" t="n">
        <v>4373</v>
      </c>
    </row>
    <row r="4376">
      <c r="A4376" t="n">
        <v>4374</v>
      </c>
    </row>
    <row r="4377">
      <c r="A4377" t="n">
        <v>4375</v>
      </c>
    </row>
    <row r="4378">
      <c r="A4378" t="n">
        <v>4376</v>
      </c>
    </row>
    <row r="4379">
      <c r="A4379" t="n">
        <v>4377</v>
      </c>
    </row>
    <row r="4380">
      <c r="A4380" t="n">
        <v>4378</v>
      </c>
    </row>
    <row r="4381">
      <c r="A4381" t="n">
        <v>4379</v>
      </c>
    </row>
    <row r="4382">
      <c r="A4382" t="n">
        <v>4380</v>
      </c>
    </row>
    <row r="4383">
      <c r="A4383" t="n">
        <v>4381</v>
      </c>
    </row>
    <row r="4384">
      <c r="A4384" t="n">
        <v>4382</v>
      </c>
    </row>
    <row r="4385">
      <c r="A4385" t="n">
        <v>4383</v>
      </c>
    </row>
    <row r="4386">
      <c r="A4386" t="n">
        <v>4384</v>
      </c>
    </row>
    <row r="4387">
      <c r="A4387" t="n">
        <v>4385</v>
      </c>
    </row>
    <row r="4388">
      <c r="A4388" t="n">
        <v>4386</v>
      </c>
    </row>
    <row r="4389">
      <c r="A4389" t="n">
        <v>4387</v>
      </c>
    </row>
    <row r="4390">
      <c r="A4390" t="n">
        <v>4388</v>
      </c>
    </row>
    <row r="4391">
      <c r="A4391" t="n">
        <v>4389</v>
      </c>
    </row>
    <row r="4392">
      <c r="A4392" t="n">
        <v>4390</v>
      </c>
    </row>
    <row r="4393">
      <c r="A4393" t="n">
        <v>4391</v>
      </c>
    </row>
    <row r="4394">
      <c r="A4394" t="n">
        <v>4392</v>
      </c>
    </row>
    <row r="4395">
      <c r="A4395" t="n">
        <v>4393</v>
      </c>
    </row>
    <row r="4396">
      <c r="A4396" t="n">
        <v>4394</v>
      </c>
    </row>
    <row r="4397">
      <c r="A4397" t="n">
        <v>4395</v>
      </c>
    </row>
    <row r="4398">
      <c r="A4398" t="n">
        <v>4396</v>
      </c>
    </row>
    <row r="4399">
      <c r="A4399" t="n">
        <v>4397</v>
      </c>
    </row>
    <row r="4400">
      <c r="A4400" t="n">
        <v>4398</v>
      </c>
    </row>
    <row r="4401">
      <c r="A4401" t="n">
        <v>4399</v>
      </c>
    </row>
    <row r="4402">
      <c r="A4402" t="n">
        <v>4400</v>
      </c>
    </row>
    <row r="4403">
      <c r="A4403" t="n">
        <v>4401</v>
      </c>
    </row>
    <row r="4404">
      <c r="A4404" t="n">
        <v>4402</v>
      </c>
    </row>
    <row r="4405">
      <c r="A4405" t="n">
        <v>4403</v>
      </c>
    </row>
    <row r="4406">
      <c r="A4406" t="n">
        <v>4404</v>
      </c>
    </row>
    <row r="4407">
      <c r="A4407" t="n">
        <v>4405</v>
      </c>
    </row>
    <row r="4408">
      <c r="A4408" t="n">
        <v>4406</v>
      </c>
    </row>
    <row r="4409">
      <c r="A4409" t="n">
        <v>4407</v>
      </c>
    </row>
    <row r="4410">
      <c r="A4410" t="n">
        <v>4408</v>
      </c>
    </row>
    <row r="4411">
      <c r="A4411" t="n">
        <v>4409</v>
      </c>
    </row>
    <row r="4412">
      <c r="A4412" t="n">
        <v>4410</v>
      </c>
    </row>
    <row r="4413">
      <c r="A4413" t="n">
        <v>4411</v>
      </c>
    </row>
    <row r="4414">
      <c r="A4414" t="n">
        <v>4412</v>
      </c>
    </row>
    <row r="4415">
      <c r="A4415" t="n">
        <v>4413</v>
      </c>
    </row>
    <row r="4416">
      <c r="A4416" t="n">
        <v>4414</v>
      </c>
    </row>
    <row r="4417">
      <c r="A4417" t="n">
        <v>4415</v>
      </c>
    </row>
    <row r="4418">
      <c r="A4418" t="n">
        <v>4416</v>
      </c>
    </row>
    <row r="4419">
      <c r="A4419" t="n">
        <v>4417</v>
      </c>
    </row>
    <row r="4420">
      <c r="A4420" t="n">
        <v>4418</v>
      </c>
    </row>
    <row r="4421">
      <c r="A4421" t="n">
        <v>4419</v>
      </c>
    </row>
    <row r="4422">
      <c r="A4422" t="n">
        <v>4420</v>
      </c>
    </row>
    <row r="4423">
      <c r="A4423" t="n">
        <v>4421</v>
      </c>
    </row>
    <row r="4424">
      <c r="A4424" t="n">
        <v>4422</v>
      </c>
    </row>
    <row r="4425">
      <c r="A4425" t="n">
        <v>4423</v>
      </c>
    </row>
    <row r="4426">
      <c r="A4426" t="n">
        <v>4424</v>
      </c>
    </row>
    <row r="4427">
      <c r="A4427" t="n">
        <v>4425</v>
      </c>
    </row>
    <row r="4428">
      <c r="A4428" t="n">
        <v>4426</v>
      </c>
    </row>
    <row r="4429">
      <c r="A4429" t="n">
        <v>4427</v>
      </c>
    </row>
    <row r="4430">
      <c r="A4430" t="n">
        <v>4428</v>
      </c>
    </row>
    <row r="4431">
      <c r="A4431" t="n">
        <v>4429</v>
      </c>
    </row>
    <row r="4432">
      <c r="A4432" t="n">
        <v>4430</v>
      </c>
    </row>
    <row r="4433">
      <c r="A4433" t="n">
        <v>4431</v>
      </c>
    </row>
    <row r="4434">
      <c r="A4434" t="n">
        <v>4432</v>
      </c>
    </row>
    <row r="4435">
      <c r="A4435" t="n">
        <v>4433</v>
      </c>
    </row>
    <row r="4436">
      <c r="A4436" t="n">
        <v>4434</v>
      </c>
    </row>
    <row r="4437">
      <c r="A4437" t="n">
        <v>4435</v>
      </c>
    </row>
    <row r="4438">
      <c r="A4438" t="n">
        <v>4436</v>
      </c>
    </row>
    <row r="4439">
      <c r="A4439" t="n">
        <v>4437</v>
      </c>
    </row>
    <row r="4440">
      <c r="A4440" t="n">
        <v>4438</v>
      </c>
    </row>
    <row r="4441">
      <c r="A4441" t="n">
        <v>4439</v>
      </c>
    </row>
    <row r="4442">
      <c r="A4442" t="n">
        <v>4440</v>
      </c>
    </row>
    <row r="4443">
      <c r="A4443" t="n">
        <v>4441</v>
      </c>
    </row>
    <row r="4444">
      <c r="A4444" t="n">
        <v>4442</v>
      </c>
    </row>
    <row r="4445">
      <c r="A4445" t="n">
        <v>4443</v>
      </c>
    </row>
    <row r="4446">
      <c r="A4446" t="n">
        <v>4444</v>
      </c>
    </row>
    <row r="4447">
      <c r="A4447" t="n">
        <v>4445</v>
      </c>
    </row>
    <row r="4448">
      <c r="A4448" t="n">
        <v>4446</v>
      </c>
    </row>
    <row r="4449">
      <c r="A4449" t="n">
        <v>4447</v>
      </c>
    </row>
    <row r="4450">
      <c r="A4450" t="n">
        <v>4448</v>
      </c>
    </row>
    <row r="4451">
      <c r="A4451" t="n">
        <v>4449</v>
      </c>
    </row>
    <row r="4452">
      <c r="A4452" t="n">
        <v>4450</v>
      </c>
    </row>
    <row r="4453">
      <c r="A4453" t="n">
        <v>4451</v>
      </c>
    </row>
    <row r="4454">
      <c r="A4454" t="n">
        <v>4452</v>
      </c>
    </row>
    <row r="4455">
      <c r="A4455" t="n">
        <v>4453</v>
      </c>
    </row>
    <row r="4456">
      <c r="A4456" t="n">
        <v>4454</v>
      </c>
    </row>
    <row r="4457">
      <c r="A4457" t="n">
        <v>4455</v>
      </c>
    </row>
    <row r="4458">
      <c r="A4458" t="n">
        <v>4456</v>
      </c>
    </row>
    <row r="4459">
      <c r="A4459" t="n">
        <v>4457</v>
      </c>
    </row>
    <row r="4460">
      <c r="A4460" t="n">
        <v>4458</v>
      </c>
    </row>
    <row r="4461">
      <c r="A4461" t="n">
        <v>4459</v>
      </c>
    </row>
    <row r="4462">
      <c r="A4462" t="n">
        <v>4460</v>
      </c>
    </row>
    <row r="4463">
      <c r="A4463" t="n">
        <v>4461</v>
      </c>
    </row>
    <row r="4464">
      <c r="A4464" t="n">
        <v>4462</v>
      </c>
    </row>
    <row r="4465">
      <c r="A4465" t="n">
        <v>4463</v>
      </c>
    </row>
    <row r="4466">
      <c r="A4466" t="n">
        <v>4464</v>
      </c>
    </row>
    <row r="4467">
      <c r="A4467" t="n">
        <v>4465</v>
      </c>
    </row>
    <row r="4468">
      <c r="A4468" t="n">
        <v>4466</v>
      </c>
    </row>
    <row r="4469">
      <c r="A4469" t="n">
        <v>4467</v>
      </c>
    </row>
    <row r="4470">
      <c r="A4470" t="n">
        <v>4468</v>
      </c>
    </row>
    <row r="4471">
      <c r="A4471" t="n">
        <v>4469</v>
      </c>
    </row>
    <row r="4472">
      <c r="A4472" t="n">
        <v>4470</v>
      </c>
    </row>
    <row r="4473">
      <c r="A4473" t="n">
        <v>4471</v>
      </c>
    </row>
    <row r="4474">
      <c r="A4474" t="n">
        <v>4472</v>
      </c>
    </row>
    <row r="4475">
      <c r="A4475" t="n">
        <v>4473</v>
      </c>
    </row>
    <row r="4476">
      <c r="A4476" t="n">
        <v>4474</v>
      </c>
    </row>
    <row r="4477">
      <c r="A4477" t="n">
        <v>4475</v>
      </c>
    </row>
    <row r="4478">
      <c r="A4478" t="n">
        <v>4476</v>
      </c>
    </row>
    <row r="4479">
      <c r="A4479" t="n">
        <v>4477</v>
      </c>
    </row>
    <row r="4480">
      <c r="A4480" t="n">
        <v>4478</v>
      </c>
    </row>
    <row r="4481">
      <c r="A4481" t="n">
        <v>4479</v>
      </c>
    </row>
    <row r="4482">
      <c r="A4482" t="n">
        <v>4480</v>
      </c>
    </row>
    <row r="4483">
      <c r="A4483" t="n">
        <v>4481</v>
      </c>
    </row>
    <row r="4484">
      <c r="A4484" t="n">
        <v>4482</v>
      </c>
    </row>
    <row r="4485">
      <c r="A4485" t="n">
        <v>4483</v>
      </c>
    </row>
    <row r="4486">
      <c r="A4486" t="n">
        <v>4484</v>
      </c>
    </row>
    <row r="4487">
      <c r="A4487" t="n">
        <v>4485</v>
      </c>
    </row>
    <row r="4488">
      <c r="A4488" t="n">
        <v>4486</v>
      </c>
    </row>
    <row r="4489">
      <c r="A4489" t="n">
        <v>4487</v>
      </c>
    </row>
    <row r="4490">
      <c r="A4490" t="n">
        <v>4488</v>
      </c>
    </row>
    <row r="4491">
      <c r="A4491" t="n">
        <v>4489</v>
      </c>
    </row>
    <row r="4492">
      <c r="A4492" t="n">
        <v>4490</v>
      </c>
    </row>
    <row r="4493">
      <c r="A4493" t="n">
        <v>4491</v>
      </c>
    </row>
    <row r="4494">
      <c r="A4494" t="n">
        <v>4492</v>
      </c>
    </row>
    <row r="4495">
      <c r="A4495" t="n">
        <v>4493</v>
      </c>
    </row>
    <row r="4496">
      <c r="A4496" t="n">
        <v>4494</v>
      </c>
    </row>
    <row r="4497">
      <c r="A4497" t="n">
        <v>4495</v>
      </c>
    </row>
    <row r="4498">
      <c r="A4498" t="n">
        <v>4496</v>
      </c>
    </row>
    <row r="4499">
      <c r="A4499" t="n">
        <v>4497</v>
      </c>
    </row>
    <row r="4500">
      <c r="A4500" t="n">
        <v>4498</v>
      </c>
    </row>
    <row r="4501">
      <c r="A4501" t="n">
        <v>4499</v>
      </c>
    </row>
    <row r="4502">
      <c r="A4502" t="n">
        <v>4500</v>
      </c>
    </row>
    <row r="4503">
      <c r="A4503" t="n">
        <v>4501</v>
      </c>
    </row>
    <row r="4504">
      <c r="A4504" t="n">
        <v>4502</v>
      </c>
    </row>
    <row r="4505">
      <c r="A4505" t="n">
        <v>4503</v>
      </c>
    </row>
    <row r="4506">
      <c r="A4506" t="n">
        <v>4504</v>
      </c>
    </row>
    <row r="4507">
      <c r="A4507" t="n">
        <v>4505</v>
      </c>
    </row>
    <row r="4508">
      <c r="A4508" t="n">
        <v>4506</v>
      </c>
    </row>
    <row r="4509">
      <c r="A4509" t="n">
        <v>4507</v>
      </c>
    </row>
    <row r="4510">
      <c r="A4510" t="n">
        <v>4508</v>
      </c>
    </row>
    <row r="4511">
      <c r="A4511" t="n">
        <v>4509</v>
      </c>
    </row>
    <row r="4512">
      <c r="A4512" t="n">
        <v>4510</v>
      </c>
    </row>
    <row r="4513">
      <c r="A4513" t="n">
        <v>4511</v>
      </c>
    </row>
    <row r="4514">
      <c r="A4514" t="n">
        <v>4512</v>
      </c>
    </row>
    <row r="4515">
      <c r="A4515" t="n">
        <v>4513</v>
      </c>
    </row>
    <row r="4516">
      <c r="A4516" t="n">
        <v>4514</v>
      </c>
    </row>
    <row r="4517">
      <c r="A4517" t="n">
        <v>4515</v>
      </c>
    </row>
    <row r="4518">
      <c r="A4518" t="n">
        <v>4516</v>
      </c>
    </row>
    <row r="4519">
      <c r="A4519" t="n">
        <v>4517</v>
      </c>
    </row>
    <row r="4520">
      <c r="A4520" t="n">
        <v>4518</v>
      </c>
    </row>
    <row r="4521">
      <c r="A4521" t="n">
        <v>4519</v>
      </c>
    </row>
    <row r="4522">
      <c r="A4522" t="n">
        <v>4520</v>
      </c>
    </row>
    <row r="4523">
      <c r="A4523" t="n">
        <v>4521</v>
      </c>
    </row>
    <row r="4524">
      <c r="A4524" t="n">
        <v>4522</v>
      </c>
    </row>
    <row r="4525">
      <c r="A4525" t="n">
        <v>4523</v>
      </c>
    </row>
    <row r="4526">
      <c r="A4526" t="n">
        <v>4524</v>
      </c>
    </row>
    <row r="4527">
      <c r="A4527" t="n">
        <v>4525</v>
      </c>
    </row>
    <row r="4528">
      <c r="A4528" t="n">
        <v>4526</v>
      </c>
    </row>
    <row r="4529">
      <c r="A4529" t="n">
        <v>4527</v>
      </c>
    </row>
    <row r="4530">
      <c r="A4530" t="n">
        <v>4528</v>
      </c>
    </row>
    <row r="4531">
      <c r="A4531" t="n">
        <v>4529</v>
      </c>
    </row>
    <row r="4532">
      <c r="A4532" t="n">
        <v>4530</v>
      </c>
    </row>
    <row r="4533">
      <c r="A4533" t="n">
        <v>4531</v>
      </c>
    </row>
    <row r="4534">
      <c r="A4534" t="n">
        <v>4532</v>
      </c>
    </row>
    <row r="4535">
      <c r="A4535" t="n">
        <v>4533</v>
      </c>
    </row>
    <row r="4536">
      <c r="A4536" t="n">
        <v>4534</v>
      </c>
    </row>
    <row r="4537">
      <c r="A4537" t="n">
        <v>4535</v>
      </c>
    </row>
    <row r="4538">
      <c r="A4538" t="n">
        <v>4536</v>
      </c>
    </row>
    <row r="4539">
      <c r="A4539" t="n">
        <v>4537</v>
      </c>
    </row>
    <row r="4540">
      <c r="A4540" t="n">
        <v>4538</v>
      </c>
    </row>
    <row r="4541">
      <c r="A4541" t="n">
        <v>4539</v>
      </c>
    </row>
    <row r="4542">
      <c r="A4542" t="n">
        <v>4540</v>
      </c>
    </row>
    <row r="4543">
      <c r="A4543" t="n">
        <v>4541</v>
      </c>
    </row>
    <row r="4544">
      <c r="A4544" t="n">
        <v>4542</v>
      </c>
    </row>
    <row r="4545">
      <c r="A4545" t="n">
        <v>4543</v>
      </c>
    </row>
    <row r="4546">
      <c r="A4546" t="n">
        <v>4544</v>
      </c>
    </row>
    <row r="4547">
      <c r="A4547" t="n">
        <v>4545</v>
      </c>
    </row>
    <row r="4548">
      <c r="A4548" t="n">
        <v>4546</v>
      </c>
    </row>
    <row r="4549">
      <c r="A4549" t="n">
        <v>4547</v>
      </c>
    </row>
    <row r="4550">
      <c r="A4550" t="n">
        <v>4548</v>
      </c>
    </row>
    <row r="4551">
      <c r="A4551" t="n">
        <v>4549</v>
      </c>
    </row>
    <row r="4552">
      <c r="A4552" t="n">
        <v>4550</v>
      </c>
    </row>
    <row r="4553">
      <c r="A4553" t="n">
        <v>4551</v>
      </c>
    </row>
    <row r="4554">
      <c r="A4554" t="n">
        <v>4552</v>
      </c>
    </row>
    <row r="4555">
      <c r="A4555" t="n">
        <v>4553</v>
      </c>
    </row>
    <row r="4556">
      <c r="A4556" t="n">
        <v>4554</v>
      </c>
    </row>
    <row r="4557">
      <c r="A4557" t="n">
        <v>4555</v>
      </c>
    </row>
    <row r="4558">
      <c r="A4558" t="n">
        <v>4556</v>
      </c>
    </row>
    <row r="4559">
      <c r="A4559" t="n">
        <v>4557</v>
      </c>
    </row>
    <row r="4560">
      <c r="A4560" t="n">
        <v>4558</v>
      </c>
    </row>
    <row r="4561">
      <c r="A4561" t="n">
        <v>4559</v>
      </c>
    </row>
    <row r="4562">
      <c r="A4562" t="n">
        <v>4560</v>
      </c>
    </row>
    <row r="4563">
      <c r="A4563" t="n">
        <v>4561</v>
      </c>
    </row>
    <row r="4564">
      <c r="A4564" t="n">
        <v>4562</v>
      </c>
    </row>
    <row r="4565">
      <c r="A4565" t="n">
        <v>4563</v>
      </c>
    </row>
    <row r="4566">
      <c r="A4566" t="n">
        <v>4564</v>
      </c>
    </row>
    <row r="4567">
      <c r="A4567" t="n">
        <v>4565</v>
      </c>
    </row>
    <row r="4568">
      <c r="A4568" t="n">
        <v>4566</v>
      </c>
    </row>
    <row r="4569">
      <c r="A4569" t="n">
        <v>4567</v>
      </c>
    </row>
    <row r="4570">
      <c r="A4570" t="n">
        <v>4568</v>
      </c>
    </row>
    <row r="4571">
      <c r="A4571" t="n">
        <v>4569</v>
      </c>
    </row>
    <row r="4572">
      <c r="A4572" t="n">
        <v>4570</v>
      </c>
    </row>
    <row r="4573">
      <c r="A4573" t="n">
        <v>4571</v>
      </c>
    </row>
    <row r="4574">
      <c r="A4574" t="n">
        <v>4572</v>
      </c>
    </row>
    <row r="4575">
      <c r="A4575" t="n">
        <v>4573</v>
      </c>
    </row>
    <row r="4576">
      <c r="A4576" t="n">
        <v>4574</v>
      </c>
    </row>
    <row r="4577">
      <c r="A4577" t="n">
        <v>4575</v>
      </c>
    </row>
    <row r="4578">
      <c r="A4578" t="n">
        <v>4576</v>
      </c>
    </row>
    <row r="4579">
      <c r="A4579" t="n">
        <v>4577</v>
      </c>
    </row>
    <row r="4580">
      <c r="A4580" t="n">
        <v>4578</v>
      </c>
    </row>
    <row r="4581">
      <c r="A4581" t="n">
        <v>4579</v>
      </c>
    </row>
    <row r="4582">
      <c r="A4582" t="n">
        <v>4580</v>
      </c>
    </row>
    <row r="4583">
      <c r="A4583" t="n">
        <v>4581</v>
      </c>
    </row>
    <row r="4584">
      <c r="A4584" t="n">
        <v>4582</v>
      </c>
    </row>
    <row r="4585">
      <c r="A4585" t="n">
        <v>4583</v>
      </c>
    </row>
    <row r="4586">
      <c r="A4586" t="n">
        <v>4584</v>
      </c>
    </row>
    <row r="4587">
      <c r="A4587" t="n">
        <v>4585</v>
      </c>
    </row>
    <row r="4588">
      <c r="A4588" t="n">
        <v>4586</v>
      </c>
    </row>
    <row r="4589">
      <c r="A4589" t="n">
        <v>4587</v>
      </c>
    </row>
    <row r="4590">
      <c r="A4590" t="n">
        <v>4588</v>
      </c>
    </row>
    <row r="4591">
      <c r="A4591" t="n">
        <v>4589</v>
      </c>
    </row>
    <row r="4592">
      <c r="A4592" t="n">
        <v>4590</v>
      </c>
    </row>
    <row r="4593">
      <c r="A4593" t="n">
        <v>4591</v>
      </c>
    </row>
    <row r="4594">
      <c r="A4594" t="n">
        <v>4592</v>
      </c>
    </row>
    <row r="4595">
      <c r="A4595" t="n">
        <v>4593</v>
      </c>
    </row>
    <row r="4596">
      <c r="A4596" t="n">
        <v>4594</v>
      </c>
    </row>
    <row r="4597">
      <c r="A4597" t="n">
        <v>4595</v>
      </c>
    </row>
    <row r="4598">
      <c r="A4598" t="n">
        <v>4596</v>
      </c>
    </row>
    <row r="4599">
      <c r="A4599" t="n">
        <v>4597</v>
      </c>
    </row>
    <row r="4600">
      <c r="A4600" t="n">
        <v>4598</v>
      </c>
    </row>
    <row r="4601">
      <c r="A4601" t="n">
        <v>4599</v>
      </c>
    </row>
    <row r="4602">
      <c r="A4602" t="n">
        <v>4600</v>
      </c>
    </row>
    <row r="4603">
      <c r="A4603" t="n">
        <v>4601</v>
      </c>
    </row>
    <row r="4604">
      <c r="A4604" t="n">
        <v>4602</v>
      </c>
    </row>
    <row r="4605">
      <c r="A4605" t="n">
        <v>4603</v>
      </c>
    </row>
    <row r="4606">
      <c r="A4606" t="n">
        <v>4604</v>
      </c>
    </row>
    <row r="4607">
      <c r="A4607" t="n">
        <v>4605</v>
      </c>
    </row>
    <row r="4608">
      <c r="A4608" t="n">
        <v>4606</v>
      </c>
    </row>
    <row r="4609">
      <c r="A4609" t="n">
        <v>4607</v>
      </c>
    </row>
    <row r="4610">
      <c r="A4610" t="n">
        <v>4608</v>
      </c>
    </row>
    <row r="4611">
      <c r="A4611" t="n">
        <v>4609</v>
      </c>
    </row>
    <row r="4612">
      <c r="A4612" t="n">
        <v>4610</v>
      </c>
    </row>
    <row r="4613">
      <c r="A4613" t="n">
        <v>4611</v>
      </c>
    </row>
    <row r="4614">
      <c r="A4614" t="n">
        <v>4612</v>
      </c>
    </row>
    <row r="4615">
      <c r="A4615" t="n">
        <v>4613</v>
      </c>
    </row>
    <row r="4616">
      <c r="A4616" t="n">
        <v>4614</v>
      </c>
    </row>
    <row r="4617">
      <c r="A4617" t="n">
        <v>4615</v>
      </c>
    </row>
    <row r="4618">
      <c r="A4618" t="n">
        <v>4616</v>
      </c>
    </row>
    <row r="4619">
      <c r="A4619" t="n">
        <v>4617</v>
      </c>
    </row>
    <row r="4620">
      <c r="A4620" t="n">
        <v>4618</v>
      </c>
    </row>
    <row r="4621">
      <c r="A4621" t="n">
        <v>4619</v>
      </c>
    </row>
    <row r="4622">
      <c r="A4622" t="n">
        <v>4620</v>
      </c>
    </row>
    <row r="4623">
      <c r="A4623" t="n">
        <v>4621</v>
      </c>
    </row>
    <row r="4624">
      <c r="A4624" t="n">
        <v>4622</v>
      </c>
    </row>
    <row r="4625">
      <c r="A4625" t="n">
        <v>4623</v>
      </c>
    </row>
    <row r="4626">
      <c r="A4626" t="n">
        <v>4624</v>
      </c>
    </row>
    <row r="4627">
      <c r="A4627" t="n">
        <v>4625</v>
      </c>
    </row>
    <row r="4628">
      <c r="A4628" t="n">
        <v>4626</v>
      </c>
    </row>
    <row r="4629">
      <c r="A4629" t="n">
        <v>4627</v>
      </c>
    </row>
    <row r="4630">
      <c r="A4630" t="n">
        <v>4628</v>
      </c>
    </row>
    <row r="4631">
      <c r="A4631" t="n">
        <v>4629</v>
      </c>
    </row>
    <row r="4632">
      <c r="A4632" t="n">
        <v>4630</v>
      </c>
    </row>
    <row r="4633">
      <c r="A4633" t="n">
        <v>4631</v>
      </c>
    </row>
    <row r="4634">
      <c r="A4634" t="n">
        <v>4632</v>
      </c>
    </row>
    <row r="4635">
      <c r="A4635" t="n">
        <v>4633</v>
      </c>
    </row>
    <row r="4636">
      <c r="A4636" t="n">
        <v>4634</v>
      </c>
    </row>
    <row r="4637">
      <c r="A4637" t="n">
        <v>4635</v>
      </c>
    </row>
    <row r="4638">
      <c r="A4638" t="n">
        <v>4636</v>
      </c>
    </row>
    <row r="4639">
      <c r="A4639" t="n">
        <v>4637</v>
      </c>
    </row>
    <row r="4640">
      <c r="A4640" t="n">
        <v>4638</v>
      </c>
    </row>
    <row r="4641">
      <c r="A4641" t="n">
        <v>4639</v>
      </c>
    </row>
    <row r="4642">
      <c r="A4642" t="n">
        <v>4640</v>
      </c>
    </row>
    <row r="4643">
      <c r="A4643" t="n">
        <v>4641</v>
      </c>
    </row>
    <row r="4644">
      <c r="A4644" t="n">
        <v>4642</v>
      </c>
    </row>
    <row r="4645">
      <c r="A4645" t="n">
        <v>4643</v>
      </c>
    </row>
    <row r="4646">
      <c r="A4646" t="n">
        <v>4644</v>
      </c>
    </row>
    <row r="4647">
      <c r="A4647" t="n">
        <v>4645</v>
      </c>
    </row>
    <row r="4648">
      <c r="A4648" t="n">
        <v>4646</v>
      </c>
    </row>
    <row r="4649">
      <c r="A4649" t="n">
        <v>4647</v>
      </c>
    </row>
    <row r="4650">
      <c r="A4650" t="n">
        <v>4648</v>
      </c>
    </row>
    <row r="4651">
      <c r="A4651" t="n">
        <v>4649</v>
      </c>
    </row>
    <row r="4652">
      <c r="A4652" t="n">
        <v>4650</v>
      </c>
    </row>
    <row r="4653">
      <c r="A4653" t="n">
        <v>4651</v>
      </c>
    </row>
    <row r="4654">
      <c r="A4654" t="n">
        <v>4652</v>
      </c>
    </row>
    <row r="4655">
      <c r="A4655" t="n">
        <v>4653</v>
      </c>
    </row>
    <row r="4656">
      <c r="A4656" t="n">
        <v>4654</v>
      </c>
    </row>
    <row r="4657">
      <c r="A4657" t="n">
        <v>4655</v>
      </c>
    </row>
    <row r="4658">
      <c r="A4658" t="n">
        <v>4656</v>
      </c>
    </row>
    <row r="4659">
      <c r="A4659" t="n">
        <v>4657</v>
      </c>
    </row>
    <row r="4660">
      <c r="A4660" t="n">
        <v>4658</v>
      </c>
    </row>
    <row r="4661">
      <c r="A4661" t="n">
        <v>4659</v>
      </c>
    </row>
    <row r="4662">
      <c r="A4662" t="n">
        <v>4660</v>
      </c>
    </row>
    <row r="4663">
      <c r="A4663" t="n">
        <v>4661</v>
      </c>
    </row>
    <row r="4664">
      <c r="A4664" t="n">
        <v>4662</v>
      </c>
    </row>
    <row r="4665">
      <c r="A4665" t="n">
        <v>4663</v>
      </c>
    </row>
    <row r="4666">
      <c r="A4666" t="n">
        <v>4664</v>
      </c>
    </row>
    <row r="4667">
      <c r="A4667" t="n">
        <v>4665</v>
      </c>
    </row>
    <row r="4668">
      <c r="A4668" t="n">
        <v>4666</v>
      </c>
    </row>
    <row r="4669">
      <c r="A4669" t="n">
        <v>4667</v>
      </c>
    </row>
    <row r="4670">
      <c r="A4670" t="n">
        <v>4668</v>
      </c>
    </row>
    <row r="4671">
      <c r="A4671" t="n">
        <v>4669</v>
      </c>
    </row>
    <row r="4672">
      <c r="A4672" t="n">
        <v>4670</v>
      </c>
    </row>
    <row r="4673">
      <c r="A4673" t="n">
        <v>4671</v>
      </c>
    </row>
    <row r="4674">
      <c r="A4674" t="n">
        <v>4672</v>
      </c>
    </row>
    <row r="4675">
      <c r="A4675" t="n">
        <v>4673</v>
      </c>
    </row>
    <row r="4676">
      <c r="A4676" t="n">
        <v>4674</v>
      </c>
    </row>
    <row r="4677">
      <c r="A4677" t="n">
        <v>4675</v>
      </c>
    </row>
    <row r="4678">
      <c r="A4678" t="n">
        <v>4676</v>
      </c>
    </row>
    <row r="4679">
      <c r="A4679" t="n">
        <v>4677</v>
      </c>
    </row>
    <row r="4680">
      <c r="A4680" t="n">
        <v>4678</v>
      </c>
    </row>
    <row r="4681">
      <c r="A4681" t="n">
        <v>4679</v>
      </c>
    </row>
    <row r="4682">
      <c r="A4682" t="n">
        <v>4680</v>
      </c>
    </row>
    <row r="4683">
      <c r="A4683" t="n">
        <v>4681</v>
      </c>
    </row>
    <row r="4684">
      <c r="A4684" t="n">
        <v>4682</v>
      </c>
    </row>
    <row r="4685">
      <c r="A4685" t="n">
        <v>4683</v>
      </c>
    </row>
    <row r="4686">
      <c r="A4686" t="n">
        <v>4684</v>
      </c>
    </row>
    <row r="4687">
      <c r="A4687" t="n">
        <v>4685</v>
      </c>
    </row>
    <row r="4688">
      <c r="A4688" t="n">
        <v>4686</v>
      </c>
    </row>
    <row r="4689">
      <c r="A4689" t="n">
        <v>4687</v>
      </c>
    </row>
    <row r="4690">
      <c r="A4690" t="n">
        <v>4688</v>
      </c>
    </row>
    <row r="4691">
      <c r="A4691" t="n">
        <v>4689</v>
      </c>
    </row>
    <row r="4692">
      <c r="A4692" t="n">
        <v>4690</v>
      </c>
    </row>
    <row r="4693">
      <c r="A4693" t="n">
        <v>4691</v>
      </c>
    </row>
    <row r="4694">
      <c r="A4694" t="n">
        <v>4692</v>
      </c>
    </row>
    <row r="4695">
      <c r="A4695" t="n">
        <v>4693</v>
      </c>
    </row>
    <row r="4696">
      <c r="A4696" t="n">
        <v>4694</v>
      </c>
    </row>
    <row r="4697">
      <c r="A4697" t="n">
        <v>4695</v>
      </c>
    </row>
    <row r="4698">
      <c r="A4698" t="n">
        <v>4696</v>
      </c>
    </row>
    <row r="4699">
      <c r="A4699" t="n">
        <v>4697</v>
      </c>
    </row>
    <row r="4700">
      <c r="A4700" t="n">
        <v>4698</v>
      </c>
    </row>
    <row r="4701">
      <c r="A4701" t="n">
        <v>4699</v>
      </c>
    </row>
    <row r="4702">
      <c r="A4702" t="n">
        <v>4700</v>
      </c>
    </row>
    <row r="4703">
      <c r="A4703" t="n">
        <v>4701</v>
      </c>
    </row>
    <row r="4704">
      <c r="A4704" t="n">
        <v>4702</v>
      </c>
    </row>
    <row r="4705">
      <c r="A4705" t="n">
        <v>4703</v>
      </c>
    </row>
    <row r="4706">
      <c r="A4706" t="n">
        <v>4704</v>
      </c>
    </row>
    <row r="4707">
      <c r="A4707" t="n">
        <v>4705</v>
      </c>
    </row>
    <row r="4708">
      <c r="A4708" t="n">
        <v>4706</v>
      </c>
    </row>
    <row r="4709">
      <c r="A4709" t="n">
        <v>4707</v>
      </c>
    </row>
    <row r="4710">
      <c r="A4710" t="n">
        <v>4708</v>
      </c>
    </row>
    <row r="4711">
      <c r="A4711" t="n">
        <v>4709</v>
      </c>
    </row>
    <row r="4712">
      <c r="A4712" t="n">
        <v>4710</v>
      </c>
    </row>
    <row r="4713">
      <c r="A4713" t="n">
        <v>4711</v>
      </c>
    </row>
    <row r="4714">
      <c r="A4714" t="n">
        <v>4712</v>
      </c>
    </row>
    <row r="4715">
      <c r="A4715" t="n">
        <v>4713</v>
      </c>
    </row>
    <row r="4716">
      <c r="A4716" t="n">
        <v>4714</v>
      </c>
    </row>
    <row r="4717">
      <c r="A4717" t="n">
        <v>4715</v>
      </c>
    </row>
    <row r="4718">
      <c r="A4718" t="n">
        <v>4716</v>
      </c>
    </row>
    <row r="4719">
      <c r="A4719" t="n">
        <v>4717</v>
      </c>
    </row>
    <row r="4720">
      <c r="A4720" t="n">
        <v>4718</v>
      </c>
    </row>
    <row r="4721">
      <c r="A4721" t="n">
        <v>4719</v>
      </c>
    </row>
    <row r="4722">
      <c r="A4722" t="n">
        <v>4720</v>
      </c>
    </row>
    <row r="4723">
      <c r="A4723" t="n">
        <v>4721</v>
      </c>
    </row>
    <row r="4724">
      <c r="A4724" t="n">
        <v>4722</v>
      </c>
    </row>
    <row r="4725">
      <c r="A4725" t="n">
        <v>4723</v>
      </c>
    </row>
    <row r="4726">
      <c r="A4726" t="n">
        <v>4724</v>
      </c>
    </row>
    <row r="4727">
      <c r="A4727" t="n">
        <v>4725</v>
      </c>
    </row>
    <row r="4728">
      <c r="A4728" t="n">
        <v>4726</v>
      </c>
    </row>
    <row r="4729">
      <c r="A4729" t="n">
        <v>4727</v>
      </c>
    </row>
    <row r="4730">
      <c r="A4730" t="n">
        <v>4728</v>
      </c>
    </row>
    <row r="4731">
      <c r="A4731" t="n">
        <v>4729</v>
      </c>
    </row>
    <row r="4732">
      <c r="A4732" t="n">
        <v>4730</v>
      </c>
    </row>
    <row r="4733">
      <c r="A4733" t="n">
        <v>4731</v>
      </c>
    </row>
    <row r="4734">
      <c r="A4734" t="n">
        <v>4732</v>
      </c>
    </row>
    <row r="4735">
      <c r="A4735" t="n">
        <v>4733</v>
      </c>
    </row>
    <row r="4736">
      <c r="A4736" t="n">
        <v>4734</v>
      </c>
    </row>
    <row r="4737">
      <c r="A4737" t="n">
        <v>4735</v>
      </c>
    </row>
    <row r="4738">
      <c r="A4738" t="n">
        <v>4736</v>
      </c>
    </row>
    <row r="4739">
      <c r="A4739" t="n">
        <v>4737</v>
      </c>
    </row>
    <row r="4740">
      <c r="A4740" t="n">
        <v>4738</v>
      </c>
    </row>
    <row r="4741">
      <c r="A4741" t="n">
        <v>4739</v>
      </c>
    </row>
    <row r="4742">
      <c r="A4742" t="n">
        <v>4740</v>
      </c>
    </row>
    <row r="4743">
      <c r="A4743" t="n">
        <v>4741</v>
      </c>
    </row>
    <row r="4744">
      <c r="A4744" t="n">
        <v>4742</v>
      </c>
    </row>
    <row r="4745">
      <c r="A4745" t="n">
        <v>4743</v>
      </c>
    </row>
    <row r="4746">
      <c r="A4746" t="n">
        <v>4744</v>
      </c>
    </row>
    <row r="4747">
      <c r="A4747" t="n">
        <v>4745</v>
      </c>
    </row>
    <row r="4748">
      <c r="A4748" t="n">
        <v>4746</v>
      </c>
    </row>
    <row r="4749">
      <c r="A4749" t="n">
        <v>4747</v>
      </c>
    </row>
    <row r="4750">
      <c r="A4750" t="n">
        <v>4748</v>
      </c>
    </row>
    <row r="4751">
      <c r="A4751" t="n">
        <v>4749</v>
      </c>
    </row>
    <row r="4752">
      <c r="A4752" t="n">
        <v>4750</v>
      </c>
    </row>
    <row r="4753">
      <c r="A4753" t="n">
        <v>4751</v>
      </c>
    </row>
    <row r="4754">
      <c r="A4754" t="n">
        <v>4752</v>
      </c>
    </row>
    <row r="4755">
      <c r="A4755" t="n">
        <v>4753</v>
      </c>
    </row>
    <row r="4756">
      <c r="A4756" t="n">
        <v>4754</v>
      </c>
    </row>
    <row r="4757">
      <c r="A4757" t="n">
        <v>4755</v>
      </c>
    </row>
    <row r="4758">
      <c r="A4758" t="n">
        <v>4756</v>
      </c>
    </row>
    <row r="4759">
      <c r="A4759" t="n">
        <v>4757</v>
      </c>
    </row>
    <row r="4760">
      <c r="A4760" t="n">
        <v>4758</v>
      </c>
    </row>
    <row r="4761">
      <c r="A4761" t="n">
        <v>4759</v>
      </c>
    </row>
    <row r="4762">
      <c r="A4762" t="n">
        <v>4760</v>
      </c>
    </row>
    <row r="4763">
      <c r="A4763" t="n">
        <v>4761</v>
      </c>
    </row>
    <row r="4764">
      <c r="A4764" t="n">
        <v>4762</v>
      </c>
    </row>
    <row r="4765">
      <c r="A4765" t="n">
        <v>4763</v>
      </c>
    </row>
    <row r="4766">
      <c r="A4766" t="n">
        <v>4764</v>
      </c>
    </row>
    <row r="4767">
      <c r="A4767" t="n">
        <v>4765</v>
      </c>
    </row>
    <row r="4768">
      <c r="A4768" t="n">
        <v>4766</v>
      </c>
    </row>
    <row r="4769">
      <c r="A4769" t="n">
        <v>4767</v>
      </c>
    </row>
    <row r="4770">
      <c r="A4770" t="n">
        <v>4768</v>
      </c>
    </row>
    <row r="4771">
      <c r="A4771" t="n">
        <v>4769</v>
      </c>
    </row>
    <row r="4772">
      <c r="A4772" t="n">
        <v>4770</v>
      </c>
    </row>
    <row r="4773">
      <c r="A4773" t="n">
        <v>4771</v>
      </c>
    </row>
    <row r="4774">
      <c r="A4774" t="n">
        <v>4772</v>
      </c>
    </row>
    <row r="4775">
      <c r="A4775" t="n">
        <v>4773</v>
      </c>
    </row>
    <row r="4776">
      <c r="A4776" t="n">
        <v>4774</v>
      </c>
    </row>
    <row r="4777">
      <c r="A4777" t="n">
        <v>4775</v>
      </c>
    </row>
    <row r="4778">
      <c r="A4778" t="n">
        <v>4776</v>
      </c>
    </row>
    <row r="4779">
      <c r="A4779" t="n">
        <v>4777</v>
      </c>
    </row>
    <row r="4780">
      <c r="A4780" t="n">
        <v>4778</v>
      </c>
    </row>
    <row r="4781">
      <c r="A4781" t="n">
        <v>4779</v>
      </c>
    </row>
    <row r="4782">
      <c r="A4782" t="n">
        <v>4780</v>
      </c>
    </row>
    <row r="4783">
      <c r="A4783" t="n">
        <v>4781</v>
      </c>
    </row>
    <row r="4784">
      <c r="A4784" t="n">
        <v>4782</v>
      </c>
    </row>
    <row r="4785">
      <c r="A4785" t="n">
        <v>4783</v>
      </c>
    </row>
    <row r="4786">
      <c r="A4786" t="n">
        <v>4784</v>
      </c>
    </row>
    <row r="4787">
      <c r="A4787" t="n">
        <v>4785</v>
      </c>
    </row>
    <row r="4788">
      <c r="A4788" t="n">
        <v>4786</v>
      </c>
    </row>
    <row r="4789">
      <c r="A4789" t="n">
        <v>4787</v>
      </c>
    </row>
    <row r="4790">
      <c r="A4790" t="n">
        <v>4788</v>
      </c>
    </row>
    <row r="4791">
      <c r="A4791" t="n">
        <v>4789</v>
      </c>
    </row>
    <row r="4792">
      <c r="A4792" t="n">
        <v>4790</v>
      </c>
    </row>
    <row r="4793">
      <c r="A4793" t="n">
        <v>4791</v>
      </c>
    </row>
    <row r="4794">
      <c r="A4794" t="n">
        <v>4792</v>
      </c>
    </row>
    <row r="4795">
      <c r="A4795" t="n">
        <v>4793</v>
      </c>
    </row>
    <row r="4796">
      <c r="A4796" t="n">
        <v>4794</v>
      </c>
    </row>
    <row r="4797">
      <c r="A4797" t="n">
        <v>4795</v>
      </c>
    </row>
    <row r="4798">
      <c r="A4798" t="n">
        <v>4796</v>
      </c>
    </row>
    <row r="4799">
      <c r="A4799" t="n">
        <v>4797</v>
      </c>
    </row>
    <row r="4800">
      <c r="A4800" t="n">
        <v>4798</v>
      </c>
    </row>
    <row r="4801">
      <c r="A4801" t="n">
        <v>4799</v>
      </c>
    </row>
    <row r="4802">
      <c r="A4802" t="n">
        <v>4800</v>
      </c>
    </row>
    <row r="4803">
      <c r="A4803" t="n">
        <v>4801</v>
      </c>
    </row>
    <row r="4804">
      <c r="A4804" t="n">
        <v>4802</v>
      </c>
    </row>
    <row r="4805">
      <c r="A4805" t="n">
        <v>4803</v>
      </c>
    </row>
    <row r="4806">
      <c r="A4806" t="n">
        <v>4804</v>
      </c>
    </row>
    <row r="4807">
      <c r="A4807" t="n">
        <v>4805</v>
      </c>
    </row>
    <row r="4808">
      <c r="A4808" t="n">
        <v>4806</v>
      </c>
    </row>
    <row r="4809">
      <c r="A4809" t="n">
        <v>4807</v>
      </c>
    </row>
    <row r="4810">
      <c r="A4810" t="n">
        <v>4808</v>
      </c>
    </row>
    <row r="4811">
      <c r="A4811" t="n">
        <v>4809</v>
      </c>
    </row>
    <row r="4812">
      <c r="A4812" t="n">
        <v>4810</v>
      </c>
    </row>
    <row r="4813">
      <c r="A4813" t="n">
        <v>4811</v>
      </c>
    </row>
    <row r="4814">
      <c r="A4814" t="n">
        <v>4812</v>
      </c>
    </row>
    <row r="4815">
      <c r="A4815" t="n">
        <v>4813</v>
      </c>
    </row>
    <row r="4816">
      <c r="A4816" t="n">
        <v>4814</v>
      </c>
    </row>
    <row r="4817">
      <c r="A4817" t="n">
        <v>4815</v>
      </c>
    </row>
    <row r="4818">
      <c r="A4818" t="n">
        <v>4816</v>
      </c>
    </row>
    <row r="4819">
      <c r="A4819" t="n">
        <v>4817</v>
      </c>
    </row>
    <row r="4820">
      <c r="A4820" t="n">
        <v>4818</v>
      </c>
    </row>
    <row r="4821">
      <c r="A4821" t="n">
        <v>4819</v>
      </c>
    </row>
    <row r="4822">
      <c r="A4822" t="n">
        <v>4820</v>
      </c>
    </row>
    <row r="4823">
      <c r="A4823" t="n">
        <v>4821</v>
      </c>
    </row>
    <row r="4824">
      <c r="A4824" t="n">
        <v>4822</v>
      </c>
    </row>
    <row r="4825">
      <c r="A4825" t="n">
        <v>4823</v>
      </c>
    </row>
    <row r="4826">
      <c r="A4826" t="n">
        <v>4824</v>
      </c>
    </row>
    <row r="4827">
      <c r="A4827" t="n">
        <v>4825</v>
      </c>
    </row>
    <row r="4828">
      <c r="A4828" t="n">
        <v>4826</v>
      </c>
    </row>
    <row r="4829">
      <c r="A4829" t="n">
        <v>4827</v>
      </c>
    </row>
    <row r="4830">
      <c r="A4830" t="n">
        <v>4828</v>
      </c>
    </row>
    <row r="4831">
      <c r="A4831" t="n">
        <v>4829</v>
      </c>
    </row>
    <row r="4832">
      <c r="A4832" t="n">
        <v>4830</v>
      </c>
    </row>
    <row r="4833">
      <c r="A4833" t="n">
        <v>4831</v>
      </c>
    </row>
    <row r="4834">
      <c r="A4834" t="n">
        <v>4832</v>
      </c>
    </row>
    <row r="4835">
      <c r="A4835" t="n">
        <v>4833</v>
      </c>
    </row>
    <row r="4836">
      <c r="A4836" t="n">
        <v>4834</v>
      </c>
    </row>
    <row r="4837">
      <c r="A4837" t="n">
        <v>4835</v>
      </c>
    </row>
    <row r="4838">
      <c r="A4838" t="n">
        <v>4836</v>
      </c>
    </row>
    <row r="4839">
      <c r="A4839" t="n">
        <v>4837</v>
      </c>
    </row>
    <row r="4840">
      <c r="A4840" t="n">
        <v>4838</v>
      </c>
    </row>
    <row r="4841">
      <c r="A4841" t="n">
        <v>4839</v>
      </c>
    </row>
    <row r="4842">
      <c r="A4842" t="n">
        <v>4840</v>
      </c>
    </row>
    <row r="4843">
      <c r="A4843" t="n">
        <v>4841</v>
      </c>
    </row>
    <row r="4844">
      <c r="A4844" t="n">
        <v>4842</v>
      </c>
    </row>
    <row r="4845">
      <c r="A4845" t="n">
        <v>4843</v>
      </c>
    </row>
    <row r="4846">
      <c r="A4846" t="n">
        <v>4844</v>
      </c>
    </row>
    <row r="4847">
      <c r="A4847" t="n">
        <v>4845</v>
      </c>
    </row>
    <row r="4848">
      <c r="A4848" t="n">
        <v>4846</v>
      </c>
    </row>
    <row r="4849">
      <c r="A4849" t="n">
        <v>4847</v>
      </c>
    </row>
    <row r="4850">
      <c r="A4850" t="n">
        <v>4848</v>
      </c>
    </row>
    <row r="4851">
      <c r="A4851" t="n">
        <v>4849</v>
      </c>
    </row>
    <row r="4852">
      <c r="A4852" t="n">
        <v>4850</v>
      </c>
    </row>
    <row r="4853">
      <c r="A4853" t="n">
        <v>4851</v>
      </c>
    </row>
    <row r="4854">
      <c r="A4854" t="n">
        <v>4852</v>
      </c>
    </row>
    <row r="4855">
      <c r="A4855" t="n">
        <v>4853</v>
      </c>
    </row>
    <row r="4856">
      <c r="A4856" t="n">
        <v>4854</v>
      </c>
    </row>
    <row r="4857">
      <c r="A4857" t="n">
        <v>4855</v>
      </c>
    </row>
    <row r="4858">
      <c r="A4858" t="n">
        <v>4856</v>
      </c>
    </row>
    <row r="4859">
      <c r="A4859" t="n">
        <v>4857</v>
      </c>
    </row>
    <row r="4860">
      <c r="A4860" t="n">
        <v>4858</v>
      </c>
    </row>
    <row r="4861">
      <c r="A4861" t="n">
        <v>4859</v>
      </c>
    </row>
    <row r="4862">
      <c r="A4862" t="n">
        <v>4860</v>
      </c>
    </row>
    <row r="4863">
      <c r="A4863" t="n">
        <v>4861</v>
      </c>
    </row>
    <row r="4864">
      <c r="A4864" t="n">
        <v>4862</v>
      </c>
    </row>
    <row r="4865">
      <c r="A4865" t="n">
        <v>4863</v>
      </c>
    </row>
    <row r="4866">
      <c r="A4866" t="n">
        <v>4864</v>
      </c>
    </row>
    <row r="4867">
      <c r="A4867" t="n">
        <v>4865</v>
      </c>
    </row>
    <row r="4868">
      <c r="A4868" t="n">
        <v>4866</v>
      </c>
    </row>
    <row r="4869">
      <c r="A4869" t="n">
        <v>4867</v>
      </c>
    </row>
    <row r="4870">
      <c r="A4870" t="n">
        <v>4868</v>
      </c>
    </row>
    <row r="4871">
      <c r="A4871" t="n">
        <v>4869</v>
      </c>
    </row>
    <row r="4872">
      <c r="A4872" t="n">
        <v>4870</v>
      </c>
    </row>
    <row r="4873">
      <c r="A4873" t="n">
        <v>4871</v>
      </c>
    </row>
    <row r="4874">
      <c r="A4874" t="n">
        <v>4872</v>
      </c>
    </row>
    <row r="4875">
      <c r="A4875" t="n">
        <v>4873</v>
      </c>
    </row>
    <row r="4876">
      <c r="A4876" t="n">
        <v>4874</v>
      </c>
    </row>
    <row r="4877">
      <c r="A4877" t="n">
        <v>4875</v>
      </c>
    </row>
    <row r="4878">
      <c r="A4878" t="n">
        <v>4876</v>
      </c>
    </row>
    <row r="4879">
      <c r="A4879" t="n">
        <v>4877</v>
      </c>
    </row>
    <row r="4880">
      <c r="A4880" t="n">
        <v>4878</v>
      </c>
    </row>
    <row r="4881">
      <c r="A4881" t="n">
        <v>4879</v>
      </c>
    </row>
    <row r="4882">
      <c r="A4882" t="n">
        <v>4880</v>
      </c>
    </row>
    <row r="4883">
      <c r="A4883" t="n">
        <v>4881</v>
      </c>
    </row>
    <row r="4884">
      <c r="A4884" t="n">
        <v>4882</v>
      </c>
    </row>
    <row r="4885">
      <c r="A4885" t="n">
        <v>4883</v>
      </c>
    </row>
    <row r="4886">
      <c r="A4886" t="n">
        <v>4884</v>
      </c>
    </row>
    <row r="4887">
      <c r="A4887" t="n">
        <v>4885</v>
      </c>
    </row>
    <row r="4888">
      <c r="A4888" t="n">
        <v>4886</v>
      </c>
    </row>
    <row r="4889">
      <c r="A4889" t="n">
        <v>4887</v>
      </c>
    </row>
    <row r="4890">
      <c r="A4890" t="n">
        <v>4888</v>
      </c>
    </row>
    <row r="4891">
      <c r="A4891" t="n">
        <v>4889</v>
      </c>
    </row>
    <row r="4892">
      <c r="A4892" t="n">
        <v>4890</v>
      </c>
    </row>
    <row r="4893">
      <c r="A4893" t="n">
        <v>4891</v>
      </c>
    </row>
    <row r="4894">
      <c r="A4894" t="n">
        <v>4892</v>
      </c>
    </row>
    <row r="4895">
      <c r="A4895" t="n">
        <v>4893</v>
      </c>
    </row>
    <row r="4896">
      <c r="A4896" t="n">
        <v>4894</v>
      </c>
    </row>
    <row r="4897">
      <c r="A4897" t="n">
        <v>4895</v>
      </c>
    </row>
    <row r="4898">
      <c r="A4898" t="n">
        <v>4896</v>
      </c>
    </row>
    <row r="4899">
      <c r="A4899" t="n">
        <v>4897</v>
      </c>
    </row>
    <row r="4900">
      <c r="A4900" t="n">
        <v>4898</v>
      </c>
    </row>
    <row r="4901">
      <c r="A4901" t="n">
        <v>4899</v>
      </c>
    </row>
    <row r="4902">
      <c r="A4902" t="n">
        <v>4900</v>
      </c>
    </row>
    <row r="4903">
      <c r="A4903" t="n">
        <v>4901</v>
      </c>
    </row>
    <row r="4904">
      <c r="A4904" t="n">
        <v>4902</v>
      </c>
    </row>
    <row r="4905">
      <c r="A4905" t="n">
        <v>4903</v>
      </c>
    </row>
    <row r="4906">
      <c r="A4906" t="n">
        <v>4904</v>
      </c>
    </row>
    <row r="4907">
      <c r="A4907" t="n">
        <v>4905</v>
      </c>
    </row>
    <row r="4908">
      <c r="A4908" t="n">
        <v>4906</v>
      </c>
    </row>
    <row r="4909">
      <c r="A4909" t="n">
        <v>4907</v>
      </c>
    </row>
    <row r="4910">
      <c r="A4910" t="n">
        <v>4908</v>
      </c>
    </row>
    <row r="4911">
      <c r="A4911" t="n">
        <v>4909</v>
      </c>
    </row>
    <row r="4912">
      <c r="A4912" t="n">
        <v>4910</v>
      </c>
    </row>
    <row r="4913">
      <c r="A4913" t="n">
        <v>4911</v>
      </c>
    </row>
    <row r="4914">
      <c r="A4914" t="n">
        <v>4912</v>
      </c>
    </row>
    <row r="4915">
      <c r="A4915" t="n">
        <v>4913</v>
      </c>
    </row>
    <row r="4916">
      <c r="A4916" t="n">
        <v>4914</v>
      </c>
    </row>
    <row r="4917">
      <c r="A4917" t="n">
        <v>4915</v>
      </c>
    </row>
    <row r="4918">
      <c r="A4918" t="n">
        <v>4916</v>
      </c>
    </row>
    <row r="4919">
      <c r="A4919" t="n">
        <v>4917</v>
      </c>
    </row>
    <row r="4920">
      <c r="A4920" t="n">
        <v>4918</v>
      </c>
    </row>
    <row r="4921">
      <c r="A4921" t="n">
        <v>4919</v>
      </c>
    </row>
    <row r="4922">
      <c r="A4922" t="n">
        <v>4920</v>
      </c>
    </row>
    <row r="4923">
      <c r="A4923" t="n">
        <v>4921</v>
      </c>
    </row>
    <row r="4924">
      <c r="A4924" t="n">
        <v>4922</v>
      </c>
    </row>
    <row r="4925">
      <c r="A4925" t="n">
        <v>4923</v>
      </c>
    </row>
    <row r="4926">
      <c r="A4926" t="n">
        <v>4924</v>
      </c>
    </row>
    <row r="4927">
      <c r="A4927" t="n">
        <v>4925</v>
      </c>
    </row>
    <row r="4928">
      <c r="A4928" t="n">
        <v>4926</v>
      </c>
    </row>
    <row r="4929">
      <c r="A4929" t="n">
        <v>4927</v>
      </c>
    </row>
    <row r="4930">
      <c r="A4930" t="n">
        <v>4928</v>
      </c>
    </row>
    <row r="4931">
      <c r="A4931" t="n">
        <v>4929</v>
      </c>
    </row>
    <row r="4932">
      <c r="A4932" t="n">
        <v>4930</v>
      </c>
    </row>
    <row r="4933">
      <c r="A4933" t="n">
        <v>4931</v>
      </c>
    </row>
    <row r="4934">
      <c r="A4934" t="n">
        <v>4932</v>
      </c>
    </row>
    <row r="4935">
      <c r="A4935" t="n">
        <v>4933</v>
      </c>
    </row>
    <row r="4936">
      <c r="A4936" t="n">
        <v>4934</v>
      </c>
    </row>
    <row r="4937">
      <c r="A4937" t="n">
        <v>4935</v>
      </c>
    </row>
    <row r="4938">
      <c r="A4938" t="n">
        <v>4936</v>
      </c>
    </row>
    <row r="4939">
      <c r="A4939" t="n">
        <v>4937</v>
      </c>
    </row>
    <row r="4940">
      <c r="A4940" t="n">
        <v>4938</v>
      </c>
    </row>
    <row r="4941">
      <c r="A4941" t="n">
        <v>4939</v>
      </c>
    </row>
    <row r="4942">
      <c r="A4942" t="n">
        <v>4940</v>
      </c>
    </row>
    <row r="4943">
      <c r="A4943" t="n">
        <v>4941</v>
      </c>
    </row>
    <row r="4944">
      <c r="A4944" t="n">
        <v>4942</v>
      </c>
    </row>
    <row r="4945">
      <c r="A4945" t="n">
        <v>4943</v>
      </c>
    </row>
    <row r="4946">
      <c r="A4946" t="n">
        <v>4944</v>
      </c>
    </row>
    <row r="4947">
      <c r="A4947" t="n">
        <v>4945</v>
      </c>
    </row>
    <row r="4948">
      <c r="A4948" t="n">
        <v>4946</v>
      </c>
    </row>
    <row r="4949">
      <c r="A4949" t="n">
        <v>4947</v>
      </c>
    </row>
    <row r="4950">
      <c r="A4950" t="n">
        <v>4948</v>
      </c>
    </row>
    <row r="4951">
      <c r="A4951" t="n">
        <v>4949</v>
      </c>
    </row>
    <row r="4952">
      <c r="A4952" t="n">
        <v>4950</v>
      </c>
    </row>
    <row r="4953">
      <c r="A4953" t="n">
        <v>4951</v>
      </c>
    </row>
    <row r="4954">
      <c r="A4954" t="n">
        <v>4952</v>
      </c>
    </row>
    <row r="4955">
      <c r="A4955" t="n">
        <v>4953</v>
      </c>
    </row>
    <row r="4956">
      <c r="A4956" t="n">
        <v>4954</v>
      </c>
    </row>
    <row r="4957">
      <c r="A4957" t="n">
        <v>4955</v>
      </c>
    </row>
    <row r="4958">
      <c r="A4958" t="n">
        <v>4956</v>
      </c>
    </row>
    <row r="4959">
      <c r="A4959" t="n">
        <v>4957</v>
      </c>
    </row>
    <row r="4960">
      <c r="A4960" t="n">
        <v>4958</v>
      </c>
    </row>
    <row r="4961">
      <c r="A4961" t="n">
        <v>4959</v>
      </c>
    </row>
    <row r="4962">
      <c r="A4962" t="n">
        <v>4960</v>
      </c>
    </row>
    <row r="4963">
      <c r="A4963" t="n">
        <v>4961</v>
      </c>
    </row>
    <row r="4964">
      <c r="A4964" t="n">
        <v>4962</v>
      </c>
    </row>
    <row r="4965">
      <c r="A4965" t="n">
        <v>4963</v>
      </c>
    </row>
    <row r="4966">
      <c r="A4966" t="n">
        <v>4964</v>
      </c>
    </row>
    <row r="4967">
      <c r="A4967" t="n">
        <v>4965</v>
      </c>
    </row>
    <row r="4968">
      <c r="A4968" t="n">
        <v>4966</v>
      </c>
    </row>
    <row r="4969">
      <c r="A4969" t="n">
        <v>4967</v>
      </c>
    </row>
    <row r="4970">
      <c r="A4970" t="n">
        <v>4968</v>
      </c>
    </row>
    <row r="4971">
      <c r="A4971" t="n">
        <v>4969</v>
      </c>
    </row>
    <row r="4972">
      <c r="A4972" t="n">
        <v>4970</v>
      </c>
    </row>
    <row r="4973">
      <c r="A4973" t="n">
        <v>4971</v>
      </c>
    </row>
    <row r="4974">
      <c r="A4974" t="n">
        <v>4972</v>
      </c>
    </row>
    <row r="4975">
      <c r="A4975" t="n">
        <v>4973</v>
      </c>
    </row>
    <row r="4976">
      <c r="A4976" t="n">
        <v>4974</v>
      </c>
    </row>
    <row r="4977">
      <c r="A4977" t="n">
        <v>4975</v>
      </c>
    </row>
    <row r="4978">
      <c r="A4978" t="n">
        <v>4976</v>
      </c>
    </row>
    <row r="4979">
      <c r="A4979" t="n">
        <v>4977</v>
      </c>
    </row>
    <row r="4980">
      <c r="A4980" t="n">
        <v>4978</v>
      </c>
    </row>
    <row r="4981">
      <c r="A4981" t="n">
        <v>4979</v>
      </c>
    </row>
    <row r="4982">
      <c r="A4982" t="n">
        <v>4980</v>
      </c>
    </row>
    <row r="4983">
      <c r="A4983" t="n">
        <v>4981</v>
      </c>
    </row>
    <row r="4984">
      <c r="A4984" t="n">
        <v>4982</v>
      </c>
    </row>
    <row r="4985">
      <c r="A4985" t="n">
        <v>4983</v>
      </c>
    </row>
    <row r="4986">
      <c r="A4986" t="n">
        <v>4984</v>
      </c>
    </row>
    <row r="4987">
      <c r="A4987" t="n">
        <v>4985</v>
      </c>
    </row>
    <row r="4988">
      <c r="A4988" t="n">
        <v>4986</v>
      </c>
    </row>
    <row r="4989">
      <c r="A4989" t="n">
        <v>4987</v>
      </c>
    </row>
    <row r="4990">
      <c r="A4990" t="n">
        <v>4988</v>
      </c>
    </row>
    <row r="4991">
      <c r="A4991" t="n">
        <v>4989</v>
      </c>
    </row>
    <row r="4992">
      <c r="A4992" t="n">
        <v>4990</v>
      </c>
    </row>
    <row r="4993">
      <c r="A4993" t="n">
        <v>4991</v>
      </c>
    </row>
    <row r="4994">
      <c r="A4994" t="n">
        <v>4992</v>
      </c>
    </row>
    <row r="4995">
      <c r="A4995" t="n">
        <v>4993</v>
      </c>
    </row>
    <row r="4996">
      <c r="A4996" t="n">
        <v>4994</v>
      </c>
    </row>
    <row r="4997">
      <c r="A4997" t="n">
        <v>4995</v>
      </c>
    </row>
    <row r="4998">
      <c r="A4998" t="n">
        <v>4996</v>
      </c>
    </row>
    <row r="4999">
      <c r="A4999" t="n">
        <v>4997</v>
      </c>
    </row>
    <row r="5000">
      <c r="A5000" t="n">
        <v>4998</v>
      </c>
    </row>
    <row r="5001">
      <c r="A5001" t="n">
        <v>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2026-09-16T22:01:11Z</dcterms:created>
  <dcterms:modified xmlns:dcterms="http://purl.org/dc/terms/" xmlns:xsi="http://www.w3.org/2001/XMLSchema-instance" xsi:type="dcterms:W3CDTF">2026-09-16T22:01:11Z</dcterms:modified>
</cp:coreProperties>
</file>