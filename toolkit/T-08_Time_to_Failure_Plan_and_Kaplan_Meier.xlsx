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KM Example" sheetId="3" state="visible" r:id="rId3"/>
    <sheet xmlns:r="http://schemas.openxmlformats.org/officeDocument/2006/relationships" name="KM Your data" sheetId="4" state="visible" r:id="rId4"/>
    <sheet xmlns:r="http://schemas.openxmlformats.org/officeDocument/2006/relationships" name="Strata Example" sheetId="5" state="visible" r:id="rId5"/>
    <sheet xmlns:r="http://schemas.openxmlformats.org/officeDocument/2006/relationships" name="Strata Your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0.000"/>
    <numFmt numFmtId="166" formatCode="0.000%"/>
    <numFmt numFmtId="167" formatCode="0.00000"/>
    <numFmt numFmtId="168" formatCode="0.000E+00"/>
    <numFmt numFmtId="169" formatCode="0.0000"/>
    <numFmt numFmtId="170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7375E"/>
      <sz val="15"/>
    </font>
    <font>
      <name val="Calibri"/>
      <i val="1"/>
      <color rgb="00595959"/>
      <sz val="10"/>
    </font>
    <font>
      <name val="Calibri"/>
      <b val="1"/>
      <color rgb="0017375E"/>
      <sz val="12"/>
    </font>
    <font>
      <name val="Calibri"/>
      <sz val="10"/>
    </font>
    <font>
      <name val="Calibri"/>
      <color rgb="000000FF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color rgb="00A6A6A6"/>
      <sz val="8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7375E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4" fillId="4" borderId="1" pivotButton="0" quotePrefix="0" xfId="0"/>
    <xf numFmtId="0" fontId="4" fillId="0" borderId="0" applyAlignment="1" pivotButton="0" quotePrefix="0" xfId="0">
      <alignment vertical="center" wrapText="1"/>
    </xf>
    <xf numFmtId="164" fontId="5" fillId="2" borderId="1" pivotButton="0" quotePrefix="0" xfId="0"/>
    <xf numFmtId="165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0" applyAlignment="1" pivotButton="0" quotePrefix="0" xfId="0">
      <alignment vertical="center" wrapText="1"/>
    </xf>
    <xf numFmtId="3" fontId="5" fillId="2" borderId="1" pivotButton="0" quotePrefix="0" xfId="0"/>
    <xf numFmtId="1" fontId="5" fillId="2" borderId="1" pivotButton="0" quotePrefix="0" xfId="0"/>
    <xf numFmtId="166" fontId="4" fillId="4" borderId="1" pivotButton="0" quotePrefix="0" xfId="0"/>
    <xf numFmtId="167" fontId="4" fillId="4" borderId="1" pivotButton="0" quotePrefix="0" xfId="0"/>
    <xf numFmtId="10" fontId="4" fillId="4" borderId="1" pivotButton="0" quotePrefix="0" xfId="0"/>
    <xf numFmtId="168" fontId="4" fillId="4" borderId="1" pivotButton="0" quotePrefix="0" xfId="0"/>
    <xf numFmtId="169" fontId="4" fillId="4" borderId="1" pivotButton="0" quotePrefix="0" xfId="0"/>
    <xf numFmtId="10" fontId="8" fillId="0" borderId="0" pivotButton="0" quotePrefix="0" xfId="0"/>
    <xf numFmtId="10" fontId="6" fillId="4" borderId="1" pivotButton="0" quotePrefix="0" xfId="0"/>
    <xf numFmtId="1" fontId="6" fillId="4" borderId="1" pivotButton="0" quotePrefix="0" xfId="0"/>
    <xf numFmtId="164" fontId="6" fillId="4" borderId="1" pivotButton="0" quotePrefix="0" xfId="0"/>
    <xf numFmtId="17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Kaplan–Meier survival with 95% CI</a:t>
            </a:r>
          </a:p>
        </rich>
      </tx>
    </title>
    <plotArea>
      <lineChart>
        <grouping val="standard"/>
        <ser>
          <idx val="0"/>
          <order val="0"/>
          <tx>
            <v>Survival</v>
          </tx>
          <spPr>
            <a:ln xmlns:a="http://schemas.openxmlformats.org/drawingml/2006/main">
              <a:solidFill>
                <a:srgbClr val="17375E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'KM Example'!$A$12:$A$16</f>
            </numRef>
          </cat>
          <val>
            <numRef>
              <f>'KM Example'!$O$12:$O$16</f>
            </numRef>
          </val>
          <smooth val="0"/>
        </ser>
        <ser>
          <idx val="1"/>
          <order val="1"/>
          <tx>
            <v>Lower 95% CI</v>
          </tx>
          <spPr>
            <a:ln xmlns:a="http://schemas.openxmlformats.org/drawingml/2006/main">
              <a:solidFill>
                <a:srgbClr val="8EA9D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'KM Example'!$A$12:$A$16</f>
            </numRef>
          </cat>
          <val>
            <numRef>
              <f>'KM Example'!$P$12:$P$16</f>
            </numRef>
          </val>
          <smooth val="0"/>
        </ser>
        <ser>
          <idx val="2"/>
          <order val="2"/>
          <tx>
            <v>Upper 95% CI</v>
          </tx>
          <spPr>
            <a:ln xmlns:a="http://schemas.openxmlformats.org/drawingml/2006/main">
              <a:solidFill>
                <a:srgbClr val="8EA9D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'KM Example'!$A$12:$A$16</f>
            </numRef>
          </cat>
          <val>
            <numRef>
              <f>'KM Example'!$Q$12:$Q$16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Interval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Survival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Interval hazard</a:t>
            </a:r>
          </a:p>
        </rich>
      </tx>
    </title>
    <plotArea>
      <barChart>
        <barDir val="col"/>
        <grouping val="clustered"/>
        <ser>
          <idx val="0"/>
          <order val="0"/>
          <tx>
            <v>Hazard</v>
          </tx>
          <spPr>
            <a:solidFill xmlns:a="http://schemas.openxmlformats.org/drawingml/2006/main">
              <a:srgbClr val="17375E"/>
            </a:solidFill>
            <a:ln xmlns:a="http://schemas.openxmlformats.org/drawingml/2006/main">
              <a:prstDash val="solid"/>
            </a:ln>
          </spPr>
          <cat>
            <numRef>
              <f>'KM Example'!$A$12:$A$16</f>
            </numRef>
          </cat>
          <val>
            <numRef>
              <f>'KM Example'!$R$12:$R$16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Hazard (d ÷ n)</a:t>
                </a:r>
              </a:p>
            </rich>
          </tx>
        </title>
        <numFmt formatCode="0.0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Kaplan–Meier survival with 95% CI</a:t>
            </a:r>
          </a:p>
        </rich>
      </tx>
    </title>
    <plotArea>
      <lineChart>
        <grouping val="standard"/>
        <ser>
          <idx val="0"/>
          <order val="0"/>
          <tx>
            <v>Survival</v>
          </tx>
          <spPr>
            <a:ln xmlns:a="http://schemas.openxmlformats.org/drawingml/2006/main">
              <a:solidFill>
                <a:srgbClr val="17375E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'KM Your data'!$A$12:$A$21</f>
            </numRef>
          </cat>
          <val>
            <numRef>
              <f>'KM Your data'!$O$12:$O$21</f>
            </numRef>
          </val>
          <smooth val="0"/>
        </ser>
        <ser>
          <idx val="1"/>
          <order val="1"/>
          <tx>
            <v>Lower 95% CI</v>
          </tx>
          <spPr>
            <a:ln xmlns:a="http://schemas.openxmlformats.org/drawingml/2006/main">
              <a:solidFill>
                <a:srgbClr val="8EA9D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'KM Your data'!$A$12:$A$21</f>
            </numRef>
          </cat>
          <val>
            <numRef>
              <f>'KM Your data'!$P$12:$P$21</f>
            </numRef>
          </val>
          <smooth val="0"/>
        </ser>
        <ser>
          <idx val="2"/>
          <order val="2"/>
          <tx>
            <v>Upper 95% CI</v>
          </tx>
          <spPr>
            <a:ln xmlns:a="http://schemas.openxmlformats.org/drawingml/2006/main">
              <a:solidFill>
                <a:srgbClr val="8EA9D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'KM Your data'!$A$12:$A$21</f>
            </numRef>
          </cat>
          <val>
            <numRef>
              <f>'KM Your data'!$Q$12:$Q$21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Interval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Survival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Interval hazard</a:t>
            </a:r>
          </a:p>
        </rich>
      </tx>
    </title>
    <plotArea>
      <barChart>
        <barDir val="col"/>
        <grouping val="clustered"/>
        <ser>
          <idx val="0"/>
          <order val="0"/>
          <tx>
            <v>Hazard</v>
          </tx>
          <spPr>
            <a:solidFill xmlns:a="http://schemas.openxmlformats.org/drawingml/2006/main">
              <a:srgbClr val="17375E"/>
            </a:solidFill>
            <a:ln xmlns:a="http://schemas.openxmlformats.org/drawingml/2006/main">
              <a:prstDash val="solid"/>
            </a:ln>
          </spPr>
          <cat>
            <numRef>
              <f>'KM Your data'!$A$12:$A$21</f>
            </numRef>
          </cat>
          <val>
            <numRef>
              <f>'KM Your data'!$R$12:$R$21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Hazard (d ÷ n)</a:t>
                </a:r>
              </a:p>
            </rich>
          </tx>
        </title>
        <numFmt formatCode="0.0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Time-to-failure analysis plan and Kaplan–Meier template</t>
        </is>
      </c>
    </row>
    <row r="2">
      <c r="A2" s="2" t="inlineStr">
        <is>
          <t>Signal Management in Medical Device Vigilance · Selim Medical Press · © 2026 · Tool T-8 · Chapter 10 (section 10.5; Tables 10.1–10.2)</t>
        </is>
      </c>
    </row>
    <row r="3">
      <c r="A3" s="2" t="inlineStr">
        <is>
          <t>Educational template — adapt to your quality system. Not a regulatory requirement. All example data are fictional.</t>
        </is>
      </c>
    </row>
    <row r="5">
      <c r="A5" s="3" t="inlineStr">
        <is>
          <t>Purpose</t>
        </is>
      </c>
    </row>
    <row r="6" ht="60" customHeight="1">
      <c r="A6" s="4" t="inlineStr">
        <is>
          <t>The Plan sheet fixes the question, time zero, censoring, strata, method and review trigger before the analysis runs. The life-table sheets take intervals, devices at risk, failures and censored counts, and return interval hazard, Kaplan–Meier survival and Greenwood linear 95% confidence intervals, with charts of the curve and the hazard. The strata sheets repeat the calculation for each failure mode, model, lot or period.</t>
        </is>
      </c>
    </row>
    <row r="7">
      <c r="A7" s="3" t="inlineStr">
        <is>
          <t>When to use</t>
        </is>
      </c>
    </row>
    <row r="8" ht="30" customHeight="1">
      <c r="A8" s="4" t="inlineStr">
        <is>
          <t>For implants and other long-lived devices where failures accrue over time and a crude proportion (failures ÷ devices) understates cumulative risk because younger devices have not reached the high-hazard years.</t>
        </is>
      </c>
    </row>
    <row r="9">
      <c r="A9" s="3" t="inlineStr">
        <is>
          <t>Sheets</t>
        </is>
      </c>
    </row>
    <row r="10" ht="15" customHeight="1">
      <c r="A10" s="4" t="inlineStr">
        <is>
          <t>Plan — Table 10.2 filled for Kestran, with a column for your entries and an approval block.</t>
        </is>
      </c>
    </row>
    <row r="11" ht="30" customHeight="1">
      <c r="A11" s="4" t="inlineStr">
        <is>
          <t>KM Example — Kestran (fictional): fractures 3, 4, 5, 14, 22; at risk 4,000, 4,000, 3,200, 2,400, 1,600. Reproduces 5-year survival 97.7% (95% CI 97.1–98.4).</t>
        </is>
      </c>
    </row>
    <row r="12" ht="30" customHeight="1">
      <c r="A12" s="4" t="inlineStr">
        <is>
          <t>KM Your data — blank, 10 intervals.   Strata Example — Kestran header vs conductor fractures.   Strata Your data — three blank strata.</t>
        </is>
      </c>
    </row>
    <row r="13">
      <c r="A13" s="3" t="inlineStr">
        <is>
          <t>Formulas</t>
        </is>
      </c>
    </row>
    <row r="14" ht="30" customHeight="1">
      <c r="A14" s="4" t="inlineStr">
        <is>
          <t>Hazard = d ÷ n.   S(t) = S(t−1) × (1 − d ÷ n).   Greenwood sum = Σ d ÷ [n × (n − d)].   SE = S × √(Greenwood sum).   95% CI = S ± z × SE, truncated to 0–100%.</t>
        </is>
      </c>
    </row>
    <row r="15">
      <c r="A15" s="3" t="inlineStr">
        <is>
          <t>Caution</t>
        </is>
      </c>
    </row>
    <row r="16" ht="30" customHeight="1">
      <c r="A16" s="4" t="inlineStr">
        <is>
          <t>Review triggers are company-designed examples. Where death is common, Kaplan–Meier overstates long-term failure; treat death as a competing risk as the plan specifies.</t>
        </is>
      </c>
    </row>
    <row r="17" ht="15" customHeight="1">
      <c r="A17" s="4" t="inlineStr">
        <is>
          <t>Companion web tool: https://abdu94-hash.github.io/device-signal-tool/</t>
        </is>
      </c>
    </row>
  </sheetData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60" customWidth="1" min="3" max="3"/>
  </cols>
  <sheetData>
    <row r="1">
      <c r="A1" s="1" t="inlineStr">
        <is>
          <t>Time-to-failure analysis plan — complete and approve BEFORE the analysis runs</t>
        </is>
      </c>
    </row>
    <row r="2">
      <c r="A2" s="2" t="inlineStr">
        <is>
          <t>Signal Management in Medical Device Vigilance · Selim Medical Press · © 2026 · Tool T-8 · Chapter 10 (Table 10.2)</t>
        </is>
      </c>
    </row>
    <row r="3">
      <c r="A3" s="2" t="inlineStr">
        <is>
          <t>Educational template — adapt to your quality system. Not a regulatory requirement. All example data are fictional.</t>
        </is>
      </c>
    </row>
    <row r="5">
      <c r="A5" s="5" t="inlineStr">
        <is>
          <t>Device / model:</t>
        </is>
      </c>
      <c r="B5" s="6" t="n"/>
    </row>
    <row r="6">
      <c r="A6" s="5" t="inlineStr">
        <is>
          <t>Signal record ID:</t>
        </is>
      </c>
      <c r="B6" s="6" t="n"/>
    </row>
    <row r="7">
      <c r="A7" s="5" t="inlineStr">
        <is>
          <t>Data cut:</t>
        </is>
      </c>
      <c r="B7" s="6" t="n"/>
    </row>
    <row r="9">
      <c r="A9" s="7" t="inlineStr">
        <is>
          <t>Plan element</t>
        </is>
      </c>
      <c r="B9" s="7" t="inlineStr">
        <is>
          <t>Kestran entry (example, fictional)</t>
        </is>
      </c>
      <c r="C9" s="7" t="inlineStr">
        <is>
          <t>Your entry</t>
        </is>
      </c>
    </row>
    <row r="10">
      <c r="A10" s="8" t="inlineStr">
        <is>
          <t>Question and decision it informs</t>
        </is>
      </c>
      <c r="B10" s="8" t="inlineStr">
        <is>
          <t>5-year fracture risk by mode; informs physician advisory, follow-up interval and design action</t>
        </is>
      </c>
    </row>
    <row r="11">
      <c r="A11" s="8" t="inlineStr">
        <is>
          <t>Time zero and imputation rule</t>
        </is>
      </c>
      <c r="B11" s="8" t="inlineStr">
        <is>
          <t>Implant date; missing dates imputed from ship date plus documented lag, with sensitivity analysis</t>
        </is>
      </c>
    </row>
    <row r="12">
      <c r="A12" s="8" t="inlineStr">
        <is>
          <t>Censoring and competing risks</t>
        </is>
      </c>
      <c r="B12" s="8" t="inlineStr">
        <is>
          <t>Censor at data cut, loss to follow-up and non-fracture explant; death as competing risk; suspected-fracture explants adjudicated first</t>
        </is>
      </c>
    </row>
    <row r="13">
      <c r="A13" s="8" t="inlineStr">
        <is>
          <t>Strata</t>
        </is>
      </c>
      <c r="B13" s="8" t="inlineStr">
        <is>
          <t>Failure location (header, conductor at subclavian crossing); implant year; predecessor lead</t>
        </is>
      </c>
    </row>
    <row r="14">
      <c r="A14" s="8" t="inlineStr">
        <is>
          <t>Method and outputs</t>
        </is>
      </c>
      <c r="B14" s="8" t="inlineStr">
        <is>
          <t>Kaplan–Meier at annual intervals, Greenwood linear 95% CI, Weibull shape by mode; number at risk shown at each year</t>
        </is>
      </c>
    </row>
    <row r="15">
      <c r="A15" s="8" t="inlineStr">
        <is>
          <t>Pre-set review trigger (company example)</t>
        </is>
      </c>
      <c r="B15" s="8" t="inlineStr">
        <is>
          <t>Annual hazard in any year above the predecessor's, or any new failure location in returned leads</t>
        </is>
      </c>
    </row>
    <row r="16">
      <c r="A16" s="2" t="inlineStr">
        <is>
          <t>The review trigger is a company-designed example. Its justification belongs in the PMS plan (Tool T-5), with the observation period stated.</t>
        </is>
      </c>
    </row>
    <row r="18">
      <c r="A18" s="3" t="inlineStr">
        <is>
          <t>Approval (before any data are analyzed)</t>
        </is>
      </c>
    </row>
    <row r="19">
      <c r="A19" s="7" t="inlineStr">
        <is>
          <t>Role</t>
        </is>
      </c>
      <c r="B19" s="7" t="inlineStr">
        <is>
          <t>Name</t>
        </is>
      </c>
      <c r="C19" s="7" t="inlineStr">
        <is>
          <t>Signature and date</t>
        </is>
      </c>
    </row>
    <row r="20">
      <c r="A20" s="8" t="inlineStr">
        <is>
          <t>Signal owner</t>
        </is>
      </c>
      <c r="B20" s="9" t="n"/>
      <c r="C20" s="9" t="n"/>
    </row>
    <row r="21">
      <c r="A21" s="8" t="inlineStr">
        <is>
          <t>Statistician</t>
        </is>
      </c>
      <c r="B21" s="9" t="n"/>
      <c r="C21" s="9" t="n"/>
    </row>
    <row r="22">
      <c r="A22" s="8" t="inlineStr">
        <is>
          <t>Clinical lead</t>
        </is>
      </c>
      <c r="B22" s="9" t="n"/>
      <c r="C22" s="9" t="n"/>
    </row>
    <row r="24">
      <c r="A24" s="3" t="inlineStr">
        <is>
          <t>Amendments after approval (report any post hoc stratum as exploratory)</t>
        </is>
      </c>
    </row>
    <row r="25">
      <c r="A25" s="7" t="inlineStr">
        <is>
          <t>Date</t>
        </is>
      </c>
      <c r="B25" s="7" t="inlineStr">
        <is>
          <t>Change and reason</t>
        </is>
      </c>
      <c r="C25" s="7" t="inlineStr">
        <is>
          <t>Approved by</t>
        </is>
      </c>
    </row>
    <row r="26">
      <c r="A26" s="9" t="n"/>
      <c r="B26" s="9" t="n"/>
      <c r="C26" s="9" t="n"/>
    </row>
    <row r="27">
      <c r="A27" s="9" t="n"/>
      <c r="B27" s="9" t="n"/>
      <c r="C27" s="9" t="n"/>
    </row>
    <row r="28">
      <c r="A28" s="9" t="n"/>
      <c r="B28" s="9" t="n"/>
      <c r="C28" s="9" t="n"/>
    </row>
    <row r="29">
      <c r="A29" s="9" t="n"/>
      <c r="B29" s="9" t="n"/>
      <c r="C29" s="9" t="n"/>
    </row>
  </sheetData>
  <pageMargins left="0.75" right="0.75" top="1" bottom="1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0" customWidth="1" min="11" max="11"/>
    <col width="11" customWidth="1" min="12" max="12"/>
    <col width="11" customWidth="1" min="13" max="13"/>
    <col width="10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>
      <c r="A1" s="1" t="inlineStr">
        <is>
          <t>Kaplan–Meier life table with Greenwood 95% CI — Example (Kestran, fictional)</t>
        </is>
      </c>
    </row>
    <row r="2">
      <c r="A2" s="2" t="inlineStr">
        <is>
          <t>Signal Management in Medical Device Vigilance · Selim Medical Press · © 2026 · Tool T-8 · Chapter 10</t>
        </is>
      </c>
    </row>
    <row r="3">
      <c r="A3" s="2" t="inlineStr">
        <is>
          <t>Educational template — adapt to your quality system. Not a regulatory requirement. All example data are fictional.</t>
        </is>
      </c>
    </row>
    <row r="4">
      <c r="A4" s="5" t="inlineStr">
        <is>
          <t>Legend:</t>
        </is>
      </c>
      <c r="B4" s="6" t="inlineStr">
        <is>
          <t>Input (edit)</t>
        </is>
      </c>
      <c r="C4" s="10" t="inlineStr">
        <is>
          <t>Calculated (do not edit)</t>
        </is>
      </c>
    </row>
    <row r="6">
      <c r="A6" s="11" t="inlineStr">
        <is>
          <t>Confidence level</t>
        </is>
      </c>
      <c r="C6" s="12" t="n">
        <v>0.95</v>
      </c>
      <c r="P6" s="2" t="inlineStr">
        <is>
          <t>Enter at-risk counts at the start of each interval directly (after censoring and earlier failures). Censored counts are recorded for traceability only. The linear CI is truncated at 0% and 100%.</t>
        </is>
      </c>
    </row>
    <row r="7">
      <c r="A7" s="11" t="inlineStr">
        <is>
          <t>z</t>
        </is>
      </c>
      <c r="C7" s="13">
        <f>_xlfn.NORM.S.INV(1-(1-C6)/2)</f>
        <v/>
      </c>
      <c r="P7" s="2" t="inlineStr">
        <is>
          <t>Grey chart-helper columns (O–R) deliberately return the N/A error value for empty intervals so the charts leave gaps.</t>
        </is>
      </c>
    </row>
    <row r="8">
      <c r="A8" s="11" t="inlineStr">
        <is>
          <t>Cohort and data cut</t>
        </is>
      </c>
      <c r="C8" s="6" t="inlineStr">
        <is>
          <t>Tracked cohort of 4,000 leads (800 implanted in each of Years 1–5); data cut end of Year 6</t>
        </is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5" t="n"/>
    </row>
    <row r="10">
      <c r="A10" s="16" t="inlineStr">
        <is>
          <t>LIFE TABLE</t>
        </is>
      </c>
    </row>
    <row r="11" ht="45" customHeight="1">
      <c r="A11" s="7" t="inlineStr">
        <is>
          <t>Interval (e.g., year since implant)</t>
        </is>
      </c>
      <c r="B11" s="7" t="inlineStr">
        <is>
          <t>At risk at start (n)</t>
        </is>
      </c>
      <c r="C11" s="7" t="inlineStr">
        <is>
          <t>Failures (d)</t>
        </is>
      </c>
      <c r="D11" s="7" t="inlineStr">
        <is>
          <t>Censored (c) — record only</t>
        </is>
      </c>
      <c r="E11" s="7" t="inlineStr">
        <is>
          <t>Interval hazard d ÷ n</t>
        </is>
      </c>
      <c r="F11" s="7" t="inlineStr">
        <is>
          <t>Conditional survival 1 − d/n</t>
        </is>
      </c>
      <c r="G11" s="7" t="inlineStr">
        <is>
          <t>Kaplan–Meier survival S</t>
        </is>
      </c>
      <c r="H11" s="7" t="inlineStr">
        <is>
          <t>Cumulative failure 1 − S</t>
        </is>
      </c>
      <c r="I11" s="7" t="inlineStr">
        <is>
          <t>Greenwood term d ÷ [n(n − d)]</t>
        </is>
      </c>
      <c r="J11" s="7" t="inlineStr">
        <is>
          <t>Greenwood sum</t>
        </is>
      </c>
      <c r="K11" s="7" t="inlineStr">
        <is>
          <t>SE of S</t>
        </is>
      </c>
      <c r="L11" s="7" t="inlineStr">
        <is>
          <t>Lower CI (linear)</t>
        </is>
      </c>
      <c r="M11" s="7" t="inlineStr">
        <is>
          <t>Upper CI (linear)</t>
        </is>
      </c>
      <c r="N11" s="7" t="inlineStr">
        <is>
          <t>Truncated at 0 or 100%?</t>
        </is>
      </c>
      <c r="O11" s="7" t="inlineStr">
        <is>
          <t>chart: S</t>
        </is>
      </c>
      <c r="P11" s="7" t="inlineStr">
        <is>
          <t>chart: lower</t>
        </is>
      </c>
      <c r="Q11" s="7" t="inlineStr">
        <is>
          <t>chart: upper</t>
        </is>
      </c>
      <c r="R11" s="7" t="inlineStr">
        <is>
          <t>chart: hazard</t>
        </is>
      </c>
    </row>
    <row r="12">
      <c r="A12" s="6" t="n">
        <v>1</v>
      </c>
      <c r="B12" s="17" t="n">
        <v>4000</v>
      </c>
      <c r="C12" s="18" t="n">
        <v>3</v>
      </c>
      <c r="D12" s="17" t="n"/>
      <c r="E12" s="19">
        <f>IF(OR($B12="",$C12=""),"",C12/B12)</f>
        <v/>
      </c>
      <c r="F12" s="20">
        <f>IF(OR($B12="",$C12=""),"",1-E12)</f>
        <v/>
      </c>
      <c r="G12" s="21">
        <f>IF(OR($B12="",$C12=""),"",1*F12)</f>
        <v/>
      </c>
      <c r="H12" s="21">
        <f>IF(OR($B12="",$C12=""),"",1-G12)</f>
        <v/>
      </c>
      <c r="I12" s="22">
        <f>IF(OR($B12="",$C12=""),"",IF(B12=C12,0,C12/(B12*(B12-C12))))</f>
        <v/>
      </c>
      <c r="J12" s="22">
        <f>IF(OR($B12="",$C12=""),"",0+I12)</f>
        <v/>
      </c>
      <c r="K12" s="23">
        <f>IF(OR($B12="",$C12=""),"",G12*SQRT(J12))</f>
        <v/>
      </c>
      <c r="L12" s="21">
        <f>IF(OR($B12="",$C12=""),"",MAX(0,G12-$C$7*K12))</f>
        <v/>
      </c>
      <c r="M12" s="21">
        <f>IF(OR($B12="",$C12=""),"",MIN(1,G12+$C$7*K12))</f>
        <v/>
      </c>
      <c r="N12" s="10">
        <f>IF(OR($B12="",$C12=""),"",IF(OR(G12+$C$7*K12&gt;1,G12-$C$7*K12&lt;0),"Yes","No"))</f>
        <v/>
      </c>
      <c r="O12" s="24">
        <f>IF(ISNUMBER(G12),G12,NA())</f>
        <v/>
      </c>
      <c r="P12" s="24">
        <f>IF(ISNUMBER(L12),L12,NA())</f>
        <v/>
      </c>
      <c r="Q12" s="24">
        <f>IF(ISNUMBER(M12),M12,NA())</f>
        <v/>
      </c>
      <c r="R12" s="24">
        <f>IF(ISNUMBER(E12),E12,NA())</f>
        <v/>
      </c>
    </row>
    <row r="13">
      <c r="A13" s="6" t="n">
        <v>2</v>
      </c>
      <c r="B13" s="17" t="n">
        <v>4000</v>
      </c>
      <c r="C13" s="18" t="n">
        <v>4</v>
      </c>
      <c r="D13" s="17" t="n"/>
      <c r="E13" s="19">
        <f>IF(OR($B13="",$C13=""),"",C13/B13)</f>
        <v/>
      </c>
      <c r="F13" s="20">
        <f>IF(OR($B13="",$C13=""),"",1-E13)</f>
        <v/>
      </c>
      <c r="G13" s="21">
        <f>IF(OR($B13="",$C13=""),"",IF(ISNUMBER(G12),G12,1)*F13)</f>
        <v/>
      </c>
      <c r="H13" s="21">
        <f>IF(OR($B13="",$C13=""),"",1-G13)</f>
        <v/>
      </c>
      <c r="I13" s="22">
        <f>IF(OR($B13="",$C13=""),"",IF(B13=C13,0,C13/(B13*(B13-C13))))</f>
        <v/>
      </c>
      <c r="J13" s="22">
        <f>IF(OR($B13="",$C13=""),"",N(J12)+I13)</f>
        <v/>
      </c>
      <c r="K13" s="23">
        <f>IF(OR($B13="",$C13=""),"",G13*SQRT(J13))</f>
        <v/>
      </c>
      <c r="L13" s="21">
        <f>IF(OR($B13="",$C13=""),"",MAX(0,G13-$C$7*K13))</f>
        <v/>
      </c>
      <c r="M13" s="21">
        <f>IF(OR($B13="",$C13=""),"",MIN(1,G13+$C$7*K13))</f>
        <v/>
      </c>
      <c r="N13" s="10">
        <f>IF(OR($B13="",$C13=""),"",IF(OR(G13+$C$7*K13&gt;1,G13-$C$7*K13&lt;0),"Yes","No"))</f>
        <v/>
      </c>
      <c r="O13" s="24">
        <f>IF(ISNUMBER(G13),G13,NA())</f>
        <v/>
      </c>
      <c r="P13" s="24">
        <f>IF(ISNUMBER(L13),L13,NA())</f>
        <v/>
      </c>
      <c r="Q13" s="24">
        <f>IF(ISNUMBER(M13),M13,NA())</f>
        <v/>
      </c>
      <c r="R13" s="24">
        <f>IF(ISNUMBER(E13),E13,NA())</f>
        <v/>
      </c>
    </row>
    <row r="14">
      <c r="A14" s="6" t="n">
        <v>3</v>
      </c>
      <c r="B14" s="17" t="n">
        <v>3200</v>
      </c>
      <c r="C14" s="18" t="n">
        <v>5</v>
      </c>
      <c r="D14" s="17" t="n"/>
      <c r="E14" s="19">
        <f>IF(OR($B14="",$C14=""),"",C14/B14)</f>
        <v/>
      </c>
      <c r="F14" s="20">
        <f>IF(OR($B14="",$C14=""),"",1-E14)</f>
        <v/>
      </c>
      <c r="G14" s="21">
        <f>IF(OR($B14="",$C14=""),"",IF(ISNUMBER(G13),G13,1)*F14)</f>
        <v/>
      </c>
      <c r="H14" s="21">
        <f>IF(OR($B14="",$C14=""),"",1-G14)</f>
        <v/>
      </c>
      <c r="I14" s="22">
        <f>IF(OR($B14="",$C14=""),"",IF(B14=C14,0,C14/(B14*(B14-C14))))</f>
        <v/>
      </c>
      <c r="J14" s="22">
        <f>IF(OR($B14="",$C14=""),"",N(J13)+I14)</f>
        <v/>
      </c>
      <c r="K14" s="23">
        <f>IF(OR($B14="",$C14=""),"",G14*SQRT(J14))</f>
        <v/>
      </c>
      <c r="L14" s="21">
        <f>IF(OR($B14="",$C14=""),"",MAX(0,G14-$C$7*K14))</f>
        <v/>
      </c>
      <c r="M14" s="21">
        <f>IF(OR($B14="",$C14=""),"",MIN(1,G14+$C$7*K14))</f>
        <v/>
      </c>
      <c r="N14" s="10">
        <f>IF(OR($B14="",$C14=""),"",IF(OR(G14+$C$7*K14&gt;1,G14-$C$7*K14&lt;0),"Yes","No"))</f>
        <v/>
      </c>
      <c r="O14" s="24">
        <f>IF(ISNUMBER(G14),G14,NA())</f>
        <v/>
      </c>
      <c r="P14" s="24">
        <f>IF(ISNUMBER(L14),L14,NA())</f>
        <v/>
      </c>
      <c r="Q14" s="24">
        <f>IF(ISNUMBER(M14),M14,NA())</f>
        <v/>
      </c>
      <c r="R14" s="24">
        <f>IF(ISNUMBER(E14),E14,NA())</f>
        <v/>
      </c>
    </row>
    <row r="15">
      <c r="A15" s="6" t="n">
        <v>4</v>
      </c>
      <c r="B15" s="17" t="n">
        <v>2400</v>
      </c>
      <c r="C15" s="18" t="n">
        <v>14</v>
      </c>
      <c r="D15" s="17" t="n"/>
      <c r="E15" s="19">
        <f>IF(OR($B15="",$C15=""),"",C15/B15)</f>
        <v/>
      </c>
      <c r="F15" s="20">
        <f>IF(OR($B15="",$C15=""),"",1-E15)</f>
        <v/>
      </c>
      <c r="G15" s="21">
        <f>IF(OR($B15="",$C15=""),"",IF(ISNUMBER(G14),G14,1)*F15)</f>
        <v/>
      </c>
      <c r="H15" s="21">
        <f>IF(OR($B15="",$C15=""),"",1-G15)</f>
        <v/>
      </c>
      <c r="I15" s="22">
        <f>IF(OR($B15="",$C15=""),"",IF(B15=C15,0,C15/(B15*(B15-C15))))</f>
        <v/>
      </c>
      <c r="J15" s="22">
        <f>IF(OR($B15="",$C15=""),"",N(J14)+I15)</f>
        <v/>
      </c>
      <c r="K15" s="23">
        <f>IF(OR($B15="",$C15=""),"",G15*SQRT(J15))</f>
        <v/>
      </c>
      <c r="L15" s="21">
        <f>IF(OR($B15="",$C15=""),"",MAX(0,G15-$C$7*K15))</f>
        <v/>
      </c>
      <c r="M15" s="21">
        <f>IF(OR($B15="",$C15=""),"",MIN(1,G15+$C$7*K15))</f>
        <v/>
      </c>
      <c r="N15" s="10">
        <f>IF(OR($B15="",$C15=""),"",IF(OR(G15+$C$7*K15&gt;1,G15-$C$7*K15&lt;0),"Yes","No"))</f>
        <v/>
      </c>
      <c r="O15" s="24">
        <f>IF(ISNUMBER(G15),G15,NA())</f>
        <v/>
      </c>
      <c r="P15" s="24">
        <f>IF(ISNUMBER(L15),L15,NA())</f>
        <v/>
      </c>
      <c r="Q15" s="24">
        <f>IF(ISNUMBER(M15),M15,NA())</f>
        <v/>
      </c>
      <c r="R15" s="24">
        <f>IF(ISNUMBER(E15),E15,NA())</f>
        <v/>
      </c>
    </row>
    <row r="16">
      <c r="A16" s="6" t="n">
        <v>5</v>
      </c>
      <c r="B16" s="17" t="n">
        <v>1600</v>
      </c>
      <c r="C16" s="18" t="n">
        <v>22</v>
      </c>
      <c r="D16" s="17" t="n"/>
      <c r="E16" s="19">
        <f>IF(OR($B16="",$C16=""),"",C16/B16)</f>
        <v/>
      </c>
      <c r="F16" s="20">
        <f>IF(OR($B16="",$C16=""),"",1-E16)</f>
        <v/>
      </c>
      <c r="G16" s="21">
        <f>IF(OR($B16="",$C16=""),"",IF(ISNUMBER(G15),G15,1)*F16)</f>
        <v/>
      </c>
      <c r="H16" s="21">
        <f>IF(OR($B16="",$C16=""),"",1-G16)</f>
        <v/>
      </c>
      <c r="I16" s="22">
        <f>IF(OR($B16="",$C16=""),"",IF(B16=C16,0,C16/(B16*(B16-C16))))</f>
        <v/>
      </c>
      <c r="J16" s="22">
        <f>IF(OR($B16="",$C16=""),"",N(J15)+I16)</f>
        <v/>
      </c>
      <c r="K16" s="23">
        <f>IF(OR($B16="",$C16=""),"",G16*SQRT(J16))</f>
        <v/>
      </c>
      <c r="L16" s="21">
        <f>IF(OR($B16="",$C16=""),"",MAX(0,G16-$C$7*K16))</f>
        <v/>
      </c>
      <c r="M16" s="21">
        <f>IF(OR($B16="",$C16=""),"",MIN(1,G16+$C$7*K16))</f>
        <v/>
      </c>
      <c r="N16" s="10">
        <f>IF(OR($B16="",$C16=""),"",IF(OR(G16+$C$7*K16&gt;1,G16-$C$7*K16&lt;0),"Yes","No"))</f>
        <v/>
      </c>
      <c r="O16" s="24">
        <f>IF(ISNUMBER(G16),G16,NA())</f>
        <v/>
      </c>
      <c r="P16" s="24">
        <f>IF(ISNUMBER(L16),L16,NA())</f>
        <v/>
      </c>
      <c r="Q16" s="24">
        <f>IF(ISNUMBER(M16),M16,NA())</f>
        <v/>
      </c>
      <c r="R16" s="24">
        <f>IF(ISNUMBER(E16),E16,NA())</f>
        <v/>
      </c>
    </row>
    <row r="17">
      <c r="A17" s="6" t="n"/>
      <c r="B17" s="17" t="n"/>
      <c r="C17" s="18" t="n"/>
      <c r="D17" s="17" t="n"/>
      <c r="E17" s="19">
        <f>IF(OR($B17="",$C17=""),"",C17/B17)</f>
        <v/>
      </c>
      <c r="F17" s="20">
        <f>IF(OR($B17="",$C17=""),"",1-E17)</f>
        <v/>
      </c>
      <c r="G17" s="21">
        <f>IF(OR($B17="",$C17=""),"",IF(ISNUMBER(G16),G16,1)*F17)</f>
        <v/>
      </c>
      <c r="H17" s="21">
        <f>IF(OR($B17="",$C17=""),"",1-G17)</f>
        <v/>
      </c>
      <c r="I17" s="22">
        <f>IF(OR($B17="",$C17=""),"",IF(B17=C17,0,C17/(B17*(B17-C17))))</f>
        <v/>
      </c>
      <c r="J17" s="22">
        <f>IF(OR($B17="",$C17=""),"",N(J16)+I17)</f>
        <v/>
      </c>
      <c r="K17" s="23">
        <f>IF(OR($B17="",$C17=""),"",G17*SQRT(J17))</f>
        <v/>
      </c>
      <c r="L17" s="21">
        <f>IF(OR($B17="",$C17=""),"",MAX(0,G17-zcell*K17))</f>
        <v/>
      </c>
      <c r="M17" s="21">
        <f>IF(OR($B17="",$C17=""),"",MIN(1,G17+zcell*K17))</f>
        <v/>
      </c>
      <c r="N17" s="10">
        <f>IF(OR($B17="",$C17=""),"",IF(OR(G17+zcell*K17&gt;1,G17-zcell*K17&lt;0),"Yes","No"))</f>
        <v/>
      </c>
      <c r="O17" s="24">
        <f>IF(ISNUMBER(G17),G17,NA())</f>
        <v/>
      </c>
      <c r="P17" s="24">
        <f>IF(ISNUMBER(L17),L17,NA())</f>
        <v/>
      </c>
      <c r="Q17" s="24">
        <f>IF(ISNUMBER(M17),M17,NA())</f>
        <v/>
      </c>
      <c r="R17" s="24">
        <f>IF(ISNUMBER(E17),E17,NA())</f>
        <v/>
      </c>
    </row>
    <row r="18">
      <c r="A18" s="6" t="n"/>
      <c r="B18" s="17" t="n"/>
      <c r="C18" s="18" t="n"/>
      <c r="D18" s="17" t="n"/>
      <c r="E18" s="19">
        <f>IF(OR($B18="",$C18=""),"",C18/B18)</f>
        <v/>
      </c>
      <c r="F18" s="20">
        <f>IF(OR($B18="",$C18=""),"",1-E18)</f>
        <v/>
      </c>
      <c r="G18" s="21">
        <f>IF(OR($B18="",$C18=""),"",IF(ISNUMBER(G17),G17,1)*F18)</f>
        <v/>
      </c>
      <c r="H18" s="21">
        <f>IF(OR($B18="",$C18=""),"",1-G18)</f>
        <v/>
      </c>
      <c r="I18" s="22">
        <f>IF(OR($B18="",$C18=""),"",IF(B18=C18,0,C18/(B18*(B18-C18))))</f>
        <v/>
      </c>
      <c r="J18" s="22">
        <f>IF(OR($B18="",$C18=""),"",N(J17)+I18)</f>
        <v/>
      </c>
      <c r="K18" s="23">
        <f>IF(OR($B18="",$C18=""),"",G18*SQRT(J18))</f>
        <v/>
      </c>
      <c r="L18" s="21">
        <f>IF(OR($B18="",$C18=""),"",MAX(0,G18-zcell*K18))</f>
        <v/>
      </c>
      <c r="M18" s="21">
        <f>IF(OR($B18="",$C18=""),"",MIN(1,G18+zcell*K18))</f>
        <v/>
      </c>
      <c r="N18" s="10">
        <f>IF(OR($B18="",$C18=""),"",IF(OR(G18+zcell*K18&gt;1,G18-zcell*K18&lt;0),"Yes","No"))</f>
        <v/>
      </c>
      <c r="O18" s="24">
        <f>IF(ISNUMBER(G18),G18,NA())</f>
        <v/>
      </c>
      <c r="P18" s="24">
        <f>IF(ISNUMBER(L18),L18,NA())</f>
        <v/>
      </c>
      <c r="Q18" s="24">
        <f>IF(ISNUMBER(M18),M18,NA())</f>
        <v/>
      </c>
      <c r="R18" s="24">
        <f>IF(ISNUMBER(E18),E18,NA())</f>
        <v/>
      </c>
    </row>
    <row r="19">
      <c r="A19" s="6" t="n"/>
      <c r="B19" s="17" t="n"/>
      <c r="C19" s="18" t="n"/>
      <c r="D19" s="17" t="n"/>
      <c r="E19" s="19">
        <f>IF(OR($B19="",$C19=""),"",C19/B19)</f>
        <v/>
      </c>
      <c r="F19" s="20">
        <f>IF(OR($B19="",$C19=""),"",1-E19)</f>
        <v/>
      </c>
      <c r="G19" s="21">
        <f>IF(OR($B19="",$C19=""),"",IF(ISNUMBER(G18),G18,1)*F19)</f>
        <v/>
      </c>
      <c r="H19" s="21">
        <f>IF(OR($B19="",$C19=""),"",1-G19)</f>
        <v/>
      </c>
      <c r="I19" s="22">
        <f>IF(OR($B19="",$C19=""),"",IF(B19=C19,0,C19/(B19*(B19-C19))))</f>
        <v/>
      </c>
      <c r="J19" s="22">
        <f>IF(OR($B19="",$C19=""),"",N(J18)+I19)</f>
        <v/>
      </c>
      <c r="K19" s="23">
        <f>IF(OR($B19="",$C19=""),"",G19*SQRT(J19))</f>
        <v/>
      </c>
      <c r="L19" s="21">
        <f>IF(OR($B19="",$C19=""),"",MAX(0,G19-zcell*K19))</f>
        <v/>
      </c>
      <c r="M19" s="21">
        <f>IF(OR($B19="",$C19=""),"",MIN(1,G19+zcell*K19))</f>
        <v/>
      </c>
      <c r="N19" s="10">
        <f>IF(OR($B19="",$C19=""),"",IF(OR(G19+zcell*K19&gt;1,G19-zcell*K19&lt;0),"Yes","No"))</f>
        <v/>
      </c>
      <c r="O19" s="24">
        <f>IF(ISNUMBER(G19),G19,NA())</f>
        <v/>
      </c>
      <c r="P19" s="24">
        <f>IF(ISNUMBER(L19),L19,NA())</f>
        <v/>
      </c>
      <c r="Q19" s="24">
        <f>IF(ISNUMBER(M19),M19,NA())</f>
        <v/>
      </c>
      <c r="R19" s="24">
        <f>IF(ISNUMBER(E19),E19,NA())</f>
        <v/>
      </c>
    </row>
    <row r="20">
      <c r="A20" s="6" t="n"/>
      <c r="B20" s="17" t="n"/>
      <c r="C20" s="18" t="n"/>
      <c r="D20" s="17" t="n"/>
      <c r="E20" s="19">
        <f>IF(OR($B20="",$C20=""),"",C20/B20)</f>
        <v/>
      </c>
      <c r="F20" s="20">
        <f>IF(OR($B20="",$C20=""),"",1-E20)</f>
        <v/>
      </c>
      <c r="G20" s="21">
        <f>IF(OR($B20="",$C20=""),"",IF(ISNUMBER(G19),G19,1)*F20)</f>
        <v/>
      </c>
      <c r="H20" s="21">
        <f>IF(OR($B20="",$C20=""),"",1-G20)</f>
        <v/>
      </c>
      <c r="I20" s="22">
        <f>IF(OR($B20="",$C20=""),"",IF(B20=C20,0,C20/(B20*(B20-C20))))</f>
        <v/>
      </c>
      <c r="J20" s="22">
        <f>IF(OR($B20="",$C20=""),"",N(J19)+I20)</f>
        <v/>
      </c>
      <c r="K20" s="23">
        <f>IF(OR($B20="",$C20=""),"",G20*SQRT(J20))</f>
        <v/>
      </c>
      <c r="L20" s="21">
        <f>IF(OR($B20="",$C20=""),"",MAX(0,G20-zcell*K20))</f>
        <v/>
      </c>
      <c r="M20" s="21">
        <f>IF(OR($B20="",$C20=""),"",MIN(1,G20+zcell*K20))</f>
        <v/>
      </c>
      <c r="N20" s="10">
        <f>IF(OR($B20="",$C20=""),"",IF(OR(G20+zcell*K20&gt;1,G20-zcell*K20&lt;0),"Yes","No"))</f>
        <v/>
      </c>
      <c r="O20" s="24">
        <f>IF(ISNUMBER(G20),G20,NA())</f>
        <v/>
      </c>
      <c r="P20" s="24">
        <f>IF(ISNUMBER(L20),L20,NA())</f>
        <v/>
      </c>
      <c r="Q20" s="24">
        <f>IF(ISNUMBER(M20),M20,NA())</f>
        <v/>
      </c>
      <c r="R20" s="24">
        <f>IF(ISNUMBER(E20),E20,NA())</f>
        <v/>
      </c>
    </row>
    <row r="21">
      <c r="A21" s="6" t="n"/>
      <c r="B21" s="17" t="n"/>
      <c r="C21" s="18" t="n"/>
      <c r="D21" s="17" t="n"/>
      <c r="E21" s="19">
        <f>IF(OR($B21="",$C21=""),"",C21/B21)</f>
        <v/>
      </c>
      <c r="F21" s="20">
        <f>IF(OR($B21="",$C21=""),"",1-E21)</f>
        <v/>
      </c>
      <c r="G21" s="21">
        <f>IF(OR($B21="",$C21=""),"",IF(ISNUMBER(G20),G20,1)*F21)</f>
        <v/>
      </c>
      <c r="H21" s="21">
        <f>IF(OR($B21="",$C21=""),"",1-G21)</f>
        <v/>
      </c>
      <c r="I21" s="22">
        <f>IF(OR($B21="",$C21=""),"",IF(B21=C21,0,C21/(B21*(B21-C21))))</f>
        <v/>
      </c>
      <c r="J21" s="22">
        <f>IF(OR($B21="",$C21=""),"",N(J20)+I21)</f>
        <v/>
      </c>
      <c r="K21" s="23">
        <f>IF(OR($B21="",$C21=""),"",G21*SQRT(J21))</f>
        <v/>
      </c>
      <c r="L21" s="21">
        <f>IF(OR($B21="",$C21=""),"",MAX(0,G21-zcell*K21))</f>
        <v/>
      </c>
      <c r="M21" s="21">
        <f>IF(OR($B21="",$C21=""),"",MIN(1,G21+zcell*K21))</f>
        <v/>
      </c>
      <c r="N21" s="10">
        <f>IF(OR($B21="",$C21=""),"",IF(OR(G21+zcell*K21&gt;1,G21-zcell*K21&lt;0),"Yes","No"))</f>
        <v/>
      </c>
      <c r="O21" s="24">
        <f>IF(ISNUMBER(G21),G21,NA())</f>
        <v/>
      </c>
      <c r="P21" s="24">
        <f>IF(ISNUMBER(L21),L21,NA())</f>
        <v/>
      </c>
      <c r="Q21" s="24">
        <f>IF(ISNUMBER(M21),M21,NA())</f>
        <v/>
      </c>
      <c r="R21" s="24">
        <f>IF(ISNUMBER(E21),E21,NA())</f>
        <v/>
      </c>
    </row>
    <row r="22">
      <c r="A22" s="16" t="inlineStr">
        <is>
          <t>Summary</t>
        </is>
      </c>
    </row>
    <row r="23">
      <c r="A23" s="11" t="inlineStr">
        <is>
          <t>Crude proportion = total failures ÷ at risk in first interval</t>
        </is>
      </c>
      <c r="E23" s="25">
        <f>IF(COUNT(C12:C21)=0,"",SUM(C12:C21)/B12)</f>
        <v/>
      </c>
    </row>
    <row r="24">
      <c r="A24" s="11" t="inlineStr">
        <is>
          <t>Total failures</t>
        </is>
      </c>
      <c r="E24" s="26">
        <f>IF(COUNT(C12:C21)=0,"",SUM(C12:C21))</f>
        <v/>
      </c>
    </row>
    <row r="25">
      <c r="A25" s="11" t="inlineStr">
        <is>
          <t>Survival at last completed interval</t>
        </is>
      </c>
      <c r="E25" s="27">
        <f>IF(COUNT(G12:G21)=0,"",INDEX(G12:G21,COUNT(G12:G21)))</f>
        <v/>
      </c>
    </row>
    <row r="26">
      <c r="A26" s="11" t="inlineStr">
        <is>
          <t xml:space="preserve">  lower CI</t>
        </is>
      </c>
      <c r="E26" s="27">
        <f>IF(COUNT(L12:L21)=0,"",INDEX(L12:L21,COUNT(L12:L21)))</f>
        <v/>
      </c>
    </row>
    <row r="27">
      <c r="A27" s="11" t="inlineStr">
        <is>
          <t xml:space="preserve">  upper CI</t>
        </is>
      </c>
      <c r="E27" s="27">
        <f>IF(COUNT(M12:M21)=0,"",INDEX(M12:M21,COUNT(M12:M21)))</f>
        <v/>
      </c>
    </row>
    <row r="28">
      <c r="A28" s="11" t="inlineStr">
        <is>
          <t>Cumulative failure probability at last interval</t>
        </is>
      </c>
      <c r="E28" s="25">
        <f>IF(COUNT(H12:H21)=0,"",INDEX(H12:H21,COUNT(H12:H21)))</f>
        <v/>
      </c>
    </row>
    <row r="29">
      <c r="A29" s="11" t="inlineStr">
        <is>
          <t>Hazard: last interval ÷ first interval</t>
        </is>
      </c>
      <c r="E29" s="28">
        <f>IF(COUNT(E12:E21)&lt;2,"",IF(E12=0,"",INDEX(E12:E21,COUNT(E12:E21))/E12))</f>
        <v/>
      </c>
    </row>
    <row r="31">
      <c r="A31" s="2" t="inlineStr">
        <is>
          <t>Book reference (Table 10.1): survival 99.93%, 99.83%, 99.67%, 99.09%, 97.7% (97.1–98.4); hazard 0.08% → 1.38%; crude 1.2%; cumulative fracture probability 2.3%. Predecessor lead 5-year survival 99.2% lies above the upper limit.</t>
        </is>
      </c>
    </row>
    <row r="32">
      <c r="A32" s="2" t="inlineStr">
        <is>
          <t>Censored counts are not given in the case dossier; the book's at-risk counts are entered directly.</t>
        </is>
      </c>
    </row>
    <row r="33">
      <c r="A33" s="2" t="inlineStr">
        <is>
          <t>Result paragraph for the signal record: "In the tracked cohort of 4,000 leads (data cut end of Year 6), Kaplan–Meier fracture-free survival at 5 years is 97.7% (95% CI 97.1–98.4; 1,600 leads at risk in year 5), against 99.2% for the predecessor lead. Annual hazard rises from 0.08% in year 1 to 1.38% in year 5. Two modes are present: conductor fracture at the subclavian crossing (41 events, wear-out) and header fracture (7 events, all in years 1 to 3)."</t>
        </is>
      </c>
    </row>
  </sheetData>
  <mergeCells count="8">
    <mergeCell ref="A23:D23"/>
    <mergeCell ref="A27:D27"/>
    <mergeCell ref="A26:D26"/>
    <mergeCell ref="A29:D29"/>
    <mergeCell ref="A25:D25"/>
    <mergeCell ref="C8:N8"/>
    <mergeCell ref="A24:D24"/>
    <mergeCell ref="A28:D28"/>
  </mergeCells>
  <pageMargins left="0.75" right="0.75" top="1" bottom="1" header="0.5" footer="0.5"/>
  <pageSetup orientation="landscape" paperSize="1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0" customWidth="1" min="11" max="11"/>
    <col width="11" customWidth="1" min="12" max="12"/>
    <col width="11" customWidth="1" min="13" max="13"/>
    <col width="10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>
      <c r="A1" s="1" t="inlineStr">
        <is>
          <t>Kaplan–Meier life table with Greenwood 95% CI — Your data</t>
        </is>
      </c>
    </row>
    <row r="2">
      <c r="A2" s="2" t="inlineStr">
        <is>
          <t>Signal Management in Medical Device Vigilance · Selim Medical Press · © 2026 · Tool T-8 · Chapter 10</t>
        </is>
      </c>
    </row>
    <row r="3">
      <c r="A3" s="2" t="inlineStr">
        <is>
          <t>Educational template — adapt to your quality system. Not a regulatory requirement. All example data are fictional.</t>
        </is>
      </c>
    </row>
    <row r="4">
      <c r="A4" s="5" t="inlineStr">
        <is>
          <t>Legend:</t>
        </is>
      </c>
      <c r="B4" s="6" t="inlineStr">
        <is>
          <t>Input (edit)</t>
        </is>
      </c>
      <c r="C4" s="10" t="inlineStr">
        <is>
          <t>Calculated (do not edit)</t>
        </is>
      </c>
    </row>
    <row r="6">
      <c r="A6" s="11" t="inlineStr">
        <is>
          <t>Confidence level</t>
        </is>
      </c>
      <c r="C6" s="12" t="n">
        <v>0.95</v>
      </c>
      <c r="P6" s="2" t="inlineStr">
        <is>
          <t>Enter at-risk counts at the start of each interval directly (after censoring and earlier failures). Censored counts are recorded for traceability only. The linear CI is truncated at 0% and 100%.</t>
        </is>
      </c>
    </row>
    <row r="7">
      <c r="A7" s="11" t="inlineStr">
        <is>
          <t>z</t>
        </is>
      </c>
      <c r="C7" s="13">
        <f>_xlfn.NORM.S.INV(1-(1-C6)/2)</f>
        <v/>
      </c>
      <c r="P7" s="2" t="inlineStr">
        <is>
          <t>Grey chart-helper columns (O–R) deliberately return the N/A error value for empty intervals so the charts leave gaps.</t>
        </is>
      </c>
    </row>
    <row r="8">
      <c r="A8" s="11" t="inlineStr">
        <is>
          <t>Cohort and data cut</t>
        </is>
      </c>
      <c r="C8" s="6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5" t="n"/>
    </row>
    <row r="10">
      <c r="A10" s="16" t="inlineStr">
        <is>
          <t>LIFE TABLE</t>
        </is>
      </c>
    </row>
    <row r="11" ht="45" customHeight="1">
      <c r="A11" s="7" t="inlineStr">
        <is>
          <t>Interval (e.g., year since implant)</t>
        </is>
      </c>
      <c r="B11" s="7" t="inlineStr">
        <is>
          <t>At risk at start (n)</t>
        </is>
      </c>
      <c r="C11" s="7" t="inlineStr">
        <is>
          <t>Failures (d)</t>
        </is>
      </c>
      <c r="D11" s="7" t="inlineStr">
        <is>
          <t>Censored (c) — record only</t>
        </is>
      </c>
      <c r="E11" s="7" t="inlineStr">
        <is>
          <t>Interval hazard d ÷ n</t>
        </is>
      </c>
      <c r="F11" s="7" t="inlineStr">
        <is>
          <t>Conditional survival 1 − d/n</t>
        </is>
      </c>
      <c r="G11" s="7" t="inlineStr">
        <is>
          <t>Kaplan–Meier survival S</t>
        </is>
      </c>
      <c r="H11" s="7" t="inlineStr">
        <is>
          <t>Cumulative failure 1 − S</t>
        </is>
      </c>
      <c r="I11" s="7" t="inlineStr">
        <is>
          <t>Greenwood term d ÷ [n(n − d)]</t>
        </is>
      </c>
      <c r="J11" s="7" t="inlineStr">
        <is>
          <t>Greenwood sum</t>
        </is>
      </c>
      <c r="K11" s="7" t="inlineStr">
        <is>
          <t>SE of S</t>
        </is>
      </c>
      <c r="L11" s="7" t="inlineStr">
        <is>
          <t>Lower CI (linear)</t>
        </is>
      </c>
      <c r="M11" s="7" t="inlineStr">
        <is>
          <t>Upper CI (linear)</t>
        </is>
      </c>
      <c r="N11" s="7" t="inlineStr">
        <is>
          <t>Truncated at 0 or 100%?</t>
        </is>
      </c>
      <c r="O11" s="7" t="inlineStr">
        <is>
          <t>chart: S</t>
        </is>
      </c>
      <c r="P11" s="7" t="inlineStr">
        <is>
          <t>chart: lower</t>
        </is>
      </c>
      <c r="Q11" s="7" t="inlineStr">
        <is>
          <t>chart: upper</t>
        </is>
      </c>
      <c r="R11" s="7" t="inlineStr">
        <is>
          <t>chart: hazard</t>
        </is>
      </c>
    </row>
    <row r="12">
      <c r="A12" s="6" t="n"/>
      <c r="B12" s="17" t="n"/>
      <c r="C12" s="18" t="n"/>
      <c r="D12" s="17" t="n"/>
      <c r="E12" s="19">
        <f>IF(OR($B12="",$C12=""),"",C12/B12)</f>
        <v/>
      </c>
      <c r="F12" s="20">
        <f>IF(OR($B12="",$C12=""),"",1-E12)</f>
        <v/>
      </c>
      <c r="G12" s="21">
        <f>IF(OR($B12="",$C12=""),"",1*F12)</f>
        <v/>
      </c>
      <c r="H12" s="21">
        <f>IF(OR($B12="",$C12=""),"",1-G12)</f>
        <v/>
      </c>
      <c r="I12" s="22">
        <f>IF(OR($B12="",$C12=""),"",IF(B12=C12,0,C12/(B12*(B12-C12))))</f>
        <v/>
      </c>
      <c r="J12" s="22">
        <f>IF(OR($B12="",$C12=""),"",0+I12)</f>
        <v/>
      </c>
      <c r="K12" s="23">
        <f>IF(OR($B12="",$C12=""),"",G12*SQRT(J12))</f>
        <v/>
      </c>
      <c r="L12" s="21">
        <f>IF(OR($B12="",$C12=""),"",MAX(0,G12-$C$7*K12))</f>
        <v/>
      </c>
      <c r="M12" s="21">
        <f>IF(OR($B12="",$C12=""),"",MIN(1,G12+$C$7*K12))</f>
        <v/>
      </c>
      <c r="N12" s="10">
        <f>IF(OR($B12="",$C12=""),"",IF(OR(G12+$C$7*K12&gt;1,G12-$C$7*K12&lt;0),"Yes","No"))</f>
        <v/>
      </c>
      <c r="O12" s="24">
        <f>IF(ISNUMBER(G12),G12,NA())</f>
        <v/>
      </c>
      <c r="P12" s="24">
        <f>IF(ISNUMBER(L12),L12,NA())</f>
        <v/>
      </c>
      <c r="Q12" s="24">
        <f>IF(ISNUMBER(M12),M12,NA())</f>
        <v/>
      </c>
      <c r="R12" s="24">
        <f>IF(ISNUMBER(E12),E12,NA())</f>
        <v/>
      </c>
    </row>
    <row r="13">
      <c r="A13" s="6" t="n"/>
      <c r="B13" s="17" t="n"/>
      <c r="C13" s="18" t="n"/>
      <c r="D13" s="17" t="n"/>
      <c r="E13" s="19">
        <f>IF(OR($B13="",$C13=""),"",C13/B13)</f>
        <v/>
      </c>
      <c r="F13" s="20">
        <f>IF(OR($B13="",$C13=""),"",1-E13)</f>
        <v/>
      </c>
      <c r="G13" s="21">
        <f>IF(OR($B13="",$C13=""),"",IF(ISNUMBER(G12),G12,1)*F13)</f>
        <v/>
      </c>
      <c r="H13" s="21">
        <f>IF(OR($B13="",$C13=""),"",1-G13)</f>
        <v/>
      </c>
      <c r="I13" s="22">
        <f>IF(OR($B13="",$C13=""),"",IF(B13=C13,0,C13/(B13*(B13-C13))))</f>
        <v/>
      </c>
      <c r="J13" s="22">
        <f>IF(OR($B13="",$C13=""),"",N(J12)+I13)</f>
        <v/>
      </c>
      <c r="K13" s="23">
        <f>IF(OR($B13="",$C13=""),"",G13*SQRT(J13))</f>
        <v/>
      </c>
      <c r="L13" s="21">
        <f>IF(OR($B13="",$C13=""),"",MAX(0,G13-$C$7*K13))</f>
        <v/>
      </c>
      <c r="M13" s="21">
        <f>IF(OR($B13="",$C13=""),"",MIN(1,G13+$C$7*K13))</f>
        <v/>
      </c>
      <c r="N13" s="10">
        <f>IF(OR($B13="",$C13=""),"",IF(OR(G13+$C$7*K13&gt;1,G13-$C$7*K13&lt;0),"Yes","No"))</f>
        <v/>
      </c>
      <c r="O13" s="24">
        <f>IF(ISNUMBER(G13),G13,NA())</f>
        <v/>
      </c>
      <c r="P13" s="24">
        <f>IF(ISNUMBER(L13),L13,NA())</f>
        <v/>
      </c>
      <c r="Q13" s="24">
        <f>IF(ISNUMBER(M13),M13,NA())</f>
        <v/>
      </c>
      <c r="R13" s="24">
        <f>IF(ISNUMBER(E13),E13,NA())</f>
        <v/>
      </c>
    </row>
    <row r="14">
      <c r="A14" s="6" t="n"/>
      <c r="B14" s="17" t="n"/>
      <c r="C14" s="18" t="n"/>
      <c r="D14" s="17" t="n"/>
      <c r="E14" s="19">
        <f>IF(OR($B14="",$C14=""),"",C14/B14)</f>
        <v/>
      </c>
      <c r="F14" s="20">
        <f>IF(OR($B14="",$C14=""),"",1-E14)</f>
        <v/>
      </c>
      <c r="G14" s="21">
        <f>IF(OR($B14="",$C14=""),"",IF(ISNUMBER(G13),G13,1)*F14)</f>
        <v/>
      </c>
      <c r="H14" s="21">
        <f>IF(OR($B14="",$C14=""),"",1-G14)</f>
        <v/>
      </c>
      <c r="I14" s="22">
        <f>IF(OR($B14="",$C14=""),"",IF(B14=C14,0,C14/(B14*(B14-C14))))</f>
        <v/>
      </c>
      <c r="J14" s="22">
        <f>IF(OR($B14="",$C14=""),"",N(J13)+I14)</f>
        <v/>
      </c>
      <c r="K14" s="23">
        <f>IF(OR($B14="",$C14=""),"",G14*SQRT(J14))</f>
        <v/>
      </c>
      <c r="L14" s="21">
        <f>IF(OR($B14="",$C14=""),"",MAX(0,G14-$C$7*K14))</f>
        <v/>
      </c>
      <c r="M14" s="21">
        <f>IF(OR($B14="",$C14=""),"",MIN(1,G14+$C$7*K14))</f>
        <v/>
      </c>
      <c r="N14" s="10">
        <f>IF(OR($B14="",$C14=""),"",IF(OR(G14+$C$7*K14&gt;1,G14-$C$7*K14&lt;0),"Yes","No"))</f>
        <v/>
      </c>
      <c r="O14" s="24">
        <f>IF(ISNUMBER(G14),G14,NA())</f>
        <v/>
      </c>
      <c r="P14" s="24">
        <f>IF(ISNUMBER(L14),L14,NA())</f>
        <v/>
      </c>
      <c r="Q14" s="24">
        <f>IF(ISNUMBER(M14),M14,NA())</f>
        <v/>
      </c>
      <c r="R14" s="24">
        <f>IF(ISNUMBER(E14),E14,NA())</f>
        <v/>
      </c>
    </row>
    <row r="15">
      <c r="A15" s="6" t="n"/>
      <c r="B15" s="17" t="n"/>
      <c r="C15" s="18" t="n"/>
      <c r="D15" s="17" t="n"/>
      <c r="E15" s="19">
        <f>IF(OR($B15="",$C15=""),"",C15/B15)</f>
        <v/>
      </c>
      <c r="F15" s="20">
        <f>IF(OR($B15="",$C15=""),"",1-E15)</f>
        <v/>
      </c>
      <c r="G15" s="21">
        <f>IF(OR($B15="",$C15=""),"",IF(ISNUMBER(G14),G14,1)*F15)</f>
        <v/>
      </c>
      <c r="H15" s="21">
        <f>IF(OR($B15="",$C15=""),"",1-G15)</f>
        <v/>
      </c>
      <c r="I15" s="22">
        <f>IF(OR($B15="",$C15=""),"",IF(B15=C15,0,C15/(B15*(B15-C15))))</f>
        <v/>
      </c>
      <c r="J15" s="22">
        <f>IF(OR($B15="",$C15=""),"",N(J14)+I15)</f>
        <v/>
      </c>
      <c r="K15" s="23">
        <f>IF(OR($B15="",$C15=""),"",G15*SQRT(J15))</f>
        <v/>
      </c>
      <c r="L15" s="21">
        <f>IF(OR($B15="",$C15=""),"",MAX(0,G15-$C$7*K15))</f>
        <v/>
      </c>
      <c r="M15" s="21">
        <f>IF(OR($B15="",$C15=""),"",MIN(1,G15+$C$7*K15))</f>
        <v/>
      </c>
      <c r="N15" s="10">
        <f>IF(OR($B15="",$C15=""),"",IF(OR(G15+$C$7*K15&gt;1,G15-$C$7*K15&lt;0),"Yes","No"))</f>
        <v/>
      </c>
      <c r="O15" s="24">
        <f>IF(ISNUMBER(G15),G15,NA())</f>
        <v/>
      </c>
      <c r="P15" s="24">
        <f>IF(ISNUMBER(L15),L15,NA())</f>
        <v/>
      </c>
      <c r="Q15" s="24">
        <f>IF(ISNUMBER(M15),M15,NA())</f>
        <v/>
      </c>
      <c r="R15" s="24">
        <f>IF(ISNUMBER(E15),E15,NA())</f>
        <v/>
      </c>
    </row>
    <row r="16">
      <c r="A16" s="6" t="n"/>
      <c r="B16" s="17" t="n"/>
      <c r="C16" s="18" t="n"/>
      <c r="D16" s="17" t="n"/>
      <c r="E16" s="19">
        <f>IF(OR($B16="",$C16=""),"",C16/B16)</f>
        <v/>
      </c>
      <c r="F16" s="20">
        <f>IF(OR($B16="",$C16=""),"",1-E16)</f>
        <v/>
      </c>
      <c r="G16" s="21">
        <f>IF(OR($B16="",$C16=""),"",IF(ISNUMBER(G15),G15,1)*F16)</f>
        <v/>
      </c>
      <c r="H16" s="21">
        <f>IF(OR($B16="",$C16=""),"",1-G16)</f>
        <v/>
      </c>
      <c r="I16" s="22">
        <f>IF(OR($B16="",$C16=""),"",IF(B16=C16,0,C16/(B16*(B16-C16))))</f>
        <v/>
      </c>
      <c r="J16" s="22">
        <f>IF(OR($B16="",$C16=""),"",N(J15)+I16)</f>
        <v/>
      </c>
      <c r="K16" s="23">
        <f>IF(OR($B16="",$C16=""),"",G16*SQRT(J16))</f>
        <v/>
      </c>
      <c r="L16" s="21">
        <f>IF(OR($B16="",$C16=""),"",MAX(0,G16-$C$7*K16))</f>
        <v/>
      </c>
      <c r="M16" s="21">
        <f>IF(OR($B16="",$C16=""),"",MIN(1,G16+$C$7*K16))</f>
        <v/>
      </c>
      <c r="N16" s="10">
        <f>IF(OR($B16="",$C16=""),"",IF(OR(G16+$C$7*K16&gt;1,G16-$C$7*K16&lt;0),"Yes","No"))</f>
        <v/>
      </c>
      <c r="O16" s="24">
        <f>IF(ISNUMBER(G16),G16,NA())</f>
        <v/>
      </c>
      <c r="P16" s="24">
        <f>IF(ISNUMBER(L16),L16,NA())</f>
        <v/>
      </c>
      <c r="Q16" s="24">
        <f>IF(ISNUMBER(M16),M16,NA())</f>
        <v/>
      </c>
      <c r="R16" s="24">
        <f>IF(ISNUMBER(E16),E16,NA())</f>
        <v/>
      </c>
    </row>
    <row r="17">
      <c r="A17" s="6" t="n"/>
      <c r="B17" s="17" t="n"/>
      <c r="C17" s="18" t="n"/>
      <c r="D17" s="17" t="n"/>
      <c r="E17" s="19">
        <f>IF(OR($B17="",$C17=""),"",C17/B17)</f>
        <v/>
      </c>
      <c r="F17" s="20">
        <f>IF(OR($B17="",$C17=""),"",1-E17)</f>
        <v/>
      </c>
      <c r="G17" s="21">
        <f>IF(OR($B17="",$C17=""),"",IF(ISNUMBER(G16),G16,1)*F17)</f>
        <v/>
      </c>
      <c r="H17" s="21">
        <f>IF(OR($B17="",$C17=""),"",1-G17)</f>
        <v/>
      </c>
      <c r="I17" s="22">
        <f>IF(OR($B17="",$C17=""),"",IF(B17=C17,0,C17/(B17*(B17-C17))))</f>
        <v/>
      </c>
      <c r="J17" s="22">
        <f>IF(OR($B17="",$C17=""),"",N(J16)+I17)</f>
        <v/>
      </c>
      <c r="K17" s="23">
        <f>IF(OR($B17="",$C17=""),"",G17*SQRT(J17))</f>
        <v/>
      </c>
      <c r="L17" s="21">
        <f>IF(OR($B17="",$C17=""),"",MAX(0,G17-$C$7*K17))</f>
        <v/>
      </c>
      <c r="M17" s="21">
        <f>IF(OR($B17="",$C17=""),"",MIN(1,G17+$C$7*K17))</f>
        <v/>
      </c>
      <c r="N17" s="10">
        <f>IF(OR($B17="",$C17=""),"",IF(OR(G17+$C$7*K17&gt;1,G17-$C$7*K17&lt;0),"Yes","No"))</f>
        <v/>
      </c>
      <c r="O17" s="24">
        <f>IF(ISNUMBER(G17),G17,NA())</f>
        <v/>
      </c>
      <c r="P17" s="24">
        <f>IF(ISNUMBER(L17),L17,NA())</f>
        <v/>
      </c>
      <c r="Q17" s="24">
        <f>IF(ISNUMBER(M17),M17,NA())</f>
        <v/>
      </c>
      <c r="R17" s="24">
        <f>IF(ISNUMBER(E17),E17,NA())</f>
        <v/>
      </c>
    </row>
    <row r="18">
      <c r="A18" s="6" t="n"/>
      <c r="B18" s="17" t="n"/>
      <c r="C18" s="18" t="n"/>
      <c r="D18" s="17" t="n"/>
      <c r="E18" s="19">
        <f>IF(OR($B18="",$C18=""),"",C18/B18)</f>
        <v/>
      </c>
      <c r="F18" s="20">
        <f>IF(OR($B18="",$C18=""),"",1-E18)</f>
        <v/>
      </c>
      <c r="G18" s="21">
        <f>IF(OR($B18="",$C18=""),"",IF(ISNUMBER(G17),G17,1)*F18)</f>
        <v/>
      </c>
      <c r="H18" s="21">
        <f>IF(OR($B18="",$C18=""),"",1-G18)</f>
        <v/>
      </c>
      <c r="I18" s="22">
        <f>IF(OR($B18="",$C18=""),"",IF(B18=C18,0,C18/(B18*(B18-C18))))</f>
        <v/>
      </c>
      <c r="J18" s="22">
        <f>IF(OR($B18="",$C18=""),"",N(J17)+I18)</f>
        <v/>
      </c>
      <c r="K18" s="23">
        <f>IF(OR($B18="",$C18=""),"",G18*SQRT(J18))</f>
        <v/>
      </c>
      <c r="L18" s="21">
        <f>IF(OR($B18="",$C18=""),"",MAX(0,G18-$C$7*K18))</f>
        <v/>
      </c>
      <c r="M18" s="21">
        <f>IF(OR($B18="",$C18=""),"",MIN(1,G18+$C$7*K18))</f>
        <v/>
      </c>
      <c r="N18" s="10">
        <f>IF(OR($B18="",$C18=""),"",IF(OR(G18+$C$7*K18&gt;1,G18-$C$7*K18&lt;0),"Yes","No"))</f>
        <v/>
      </c>
      <c r="O18" s="24">
        <f>IF(ISNUMBER(G18),G18,NA())</f>
        <v/>
      </c>
      <c r="P18" s="24">
        <f>IF(ISNUMBER(L18),L18,NA())</f>
        <v/>
      </c>
      <c r="Q18" s="24">
        <f>IF(ISNUMBER(M18),M18,NA())</f>
        <v/>
      </c>
      <c r="R18" s="24">
        <f>IF(ISNUMBER(E18),E18,NA())</f>
        <v/>
      </c>
    </row>
    <row r="19">
      <c r="A19" s="6" t="n"/>
      <c r="B19" s="17" t="n"/>
      <c r="C19" s="18" t="n"/>
      <c r="D19" s="17" t="n"/>
      <c r="E19" s="19">
        <f>IF(OR($B19="",$C19=""),"",C19/B19)</f>
        <v/>
      </c>
      <c r="F19" s="20">
        <f>IF(OR($B19="",$C19=""),"",1-E19)</f>
        <v/>
      </c>
      <c r="G19" s="21">
        <f>IF(OR($B19="",$C19=""),"",IF(ISNUMBER(G18),G18,1)*F19)</f>
        <v/>
      </c>
      <c r="H19" s="21">
        <f>IF(OR($B19="",$C19=""),"",1-G19)</f>
        <v/>
      </c>
      <c r="I19" s="22">
        <f>IF(OR($B19="",$C19=""),"",IF(B19=C19,0,C19/(B19*(B19-C19))))</f>
        <v/>
      </c>
      <c r="J19" s="22">
        <f>IF(OR($B19="",$C19=""),"",N(J18)+I19)</f>
        <v/>
      </c>
      <c r="K19" s="23">
        <f>IF(OR($B19="",$C19=""),"",G19*SQRT(J19))</f>
        <v/>
      </c>
      <c r="L19" s="21">
        <f>IF(OR($B19="",$C19=""),"",MAX(0,G19-$C$7*K19))</f>
        <v/>
      </c>
      <c r="M19" s="21">
        <f>IF(OR($B19="",$C19=""),"",MIN(1,G19+$C$7*K19))</f>
        <v/>
      </c>
      <c r="N19" s="10">
        <f>IF(OR($B19="",$C19=""),"",IF(OR(G19+$C$7*K19&gt;1,G19-$C$7*K19&lt;0),"Yes","No"))</f>
        <v/>
      </c>
      <c r="O19" s="24">
        <f>IF(ISNUMBER(G19),G19,NA())</f>
        <v/>
      </c>
      <c r="P19" s="24">
        <f>IF(ISNUMBER(L19),L19,NA())</f>
        <v/>
      </c>
      <c r="Q19" s="24">
        <f>IF(ISNUMBER(M19),M19,NA())</f>
        <v/>
      </c>
      <c r="R19" s="24">
        <f>IF(ISNUMBER(E19),E19,NA())</f>
        <v/>
      </c>
    </row>
    <row r="20">
      <c r="A20" s="6" t="n"/>
      <c r="B20" s="17" t="n"/>
      <c r="C20" s="18" t="n"/>
      <c r="D20" s="17" t="n"/>
      <c r="E20" s="19">
        <f>IF(OR($B20="",$C20=""),"",C20/B20)</f>
        <v/>
      </c>
      <c r="F20" s="20">
        <f>IF(OR($B20="",$C20=""),"",1-E20)</f>
        <v/>
      </c>
      <c r="G20" s="21">
        <f>IF(OR($B20="",$C20=""),"",IF(ISNUMBER(G19),G19,1)*F20)</f>
        <v/>
      </c>
      <c r="H20" s="21">
        <f>IF(OR($B20="",$C20=""),"",1-G20)</f>
        <v/>
      </c>
      <c r="I20" s="22">
        <f>IF(OR($B20="",$C20=""),"",IF(B20=C20,0,C20/(B20*(B20-C20))))</f>
        <v/>
      </c>
      <c r="J20" s="22">
        <f>IF(OR($B20="",$C20=""),"",N(J19)+I20)</f>
        <v/>
      </c>
      <c r="K20" s="23">
        <f>IF(OR($B20="",$C20=""),"",G20*SQRT(J20))</f>
        <v/>
      </c>
      <c r="L20" s="21">
        <f>IF(OR($B20="",$C20=""),"",MAX(0,G20-$C$7*K20))</f>
        <v/>
      </c>
      <c r="M20" s="21">
        <f>IF(OR($B20="",$C20=""),"",MIN(1,G20+$C$7*K20))</f>
        <v/>
      </c>
      <c r="N20" s="10">
        <f>IF(OR($B20="",$C20=""),"",IF(OR(G20+$C$7*K20&gt;1,G20-$C$7*K20&lt;0),"Yes","No"))</f>
        <v/>
      </c>
      <c r="O20" s="24">
        <f>IF(ISNUMBER(G20),G20,NA())</f>
        <v/>
      </c>
      <c r="P20" s="24">
        <f>IF(ISNUMBER(L20),L20,NA())</f>
        <v/>
      </c>
      <c r="Q20" s="24">
        <f>IF(ISNUMBER(M20),M20,NA())</f>
        <v/>
      </c>
      <c r="R20" s="24">
        <f>IF(ISNUMBER(E20),E20,NA())</f>
        <v/>
      </c>
    </row>
    <row r="21">
      <c r="A21" s="6" t="n"/>
      <c r="B21" s="17" t="n"/>
      <c r="C21" s="18" t="n"/>
      <c r="D21" s="17" t="n"/>
      <c r="E21" s="19">
        <f>IF(OR($B21="",$C21=""),"",C21/B21)</f>
        <v/>
      </c>
      <c r="F21" s="20">
        <f>IF(OR($B21="",$C21=""),"",1-E21)</f>
        <v/>
      </c>
      <c r="G21" s="21">
        <f>IF(OR($B21="",$C21=""),"",IF(ISNUMBER(G20),G20,1)*F21)</f>
        <v/>
      </c>
      <c r="H21" s="21">
        <f>IF(OR($B21="",$C21=""),"",1-G21)</f>
        <v/>
      </c>
      <c r="I21" s="22">
        <f>IF(OR($B21="",$C21=""),"",IF(B21=C21,0,C21/(B21*(B21-C21))))</f>
        <v/>
      </c>
      <c r="J21" s="22">
        <f>IF(OR($B21="",$C21=""),"",N(J20)+I21)</f>
        <v/>
      </c>
      <c r="K21" s="23">
        <f>IF(OR($B21="",$C21=""),"",G21*SQRT(J21))</f>
        <v/>
      </c>
      <c r="L21" s="21">
        <f>IF(OR($B21="",$C21=""),"",MAX(0,G21-$C$7*K21))</f>
        <v/>
      </c>
      <c r="M21" s="21">
        <f>IF(OR($B21="",$C21=""),"",MIN(1,G21+$C$7*K21))</f>
        <v/>
      </c>
      <c r="N21" s="10">
        <f>IF(OR($B21="",$C21=""),"",IF(OR(G21+$C$7*K21&gt;1,G21-$C$7*K21&lt;0),"Yes","No"))</f>
        <v/>
      </c>
      <c r="O21" s="24">
        <f>IF(ISNUMBER(G21),G21,NA())</f>
        <v/>
      </c>
      <c r="P21" s="24">
        <f>IF(ISNUMBER(L21),L21,NA())</f>
        <v/>
      </c>
      <c r="Q21" s="24">
        <f>IF(ISNUMBER(M21),M21,NA())</f>
        <v/>
      </c>
      <c r="R21" s="24">
        <f>IF(ISNUMBER(E21),E21,NA())</f>
        <v/>
      </c>
    </row>
    <row r="22">
      <c r="A22" s="16" t="inlineStr">
        <is>
          <t>Summary</t>
        </is>
      </c>
    </row>
    <row r="23">
      <c r="A23" s="11" t="inlineStr">
        <is>
          <t>Crude proportion = total failures ÷ at risk in first interval</t>
        </is>
      </c>
      <c r="E23" s="25">
        <f>IF(COUNT(C12:C21)=0,"",SUM(C12:C21)/B12)</f>
        <v/>
      </c>
    </row>
    <row r="24">
      <c r="A24" s="11" t="inlineStr">
        <is>
          <t>Total failures</t>
        </is>
      </c>
      <c r="E24" s="26">
        <f>IF(COUNT(C12:C21)=0,"",SUM(C12:C21))</f>
        <v/>
      </c>
    </row>
    <row r="25">
      <c r="A25" s="11" t="inlineStr">
        <is>
          <t>Survival at last completed interval</t>
        </is>
      </c>
      <c r="E25" s="27">
        <f>IF(COUNT(G12:G21)=0,"",INDEX(G12:G21,COUNT(G12:G21)))</f>
        <v/>
      </c>
    </row>
    <row r="26">
      <c r="A26" s="11" t="inlineStr">
        <is>
          <t xml:space="preserve">  lower CI</t>
        </is>
      </c>
      <c r="E26" s="27">
        <f>IF(COUNT(L12:L21)=0,"",INDEX(L12:L21,COUNT(L12:L21)))</f>
        <v/>
      </c>
    </row>
    <row r="27">
      <c r="A27" s="11" t="inlineStr">
        <is>
          <t xml:space="preserve">  upper CI</t>
        </is>
      </c>
      <c r="E27" s="27">
        <f>IF(COUNT(M12:M21)=0,"",INDEX(M12:M21,COUNT(M12:M21)))</f>
        <v/>
      </c>
    </row>
    <row r="28">
      <c r="A28" s="11" t="inlineStr">
        <is>
          <t>Cumulative failure probability at last interval</t>
        </is>
      </c>
      <c r="E28" s="25">
        <f>IF(COUNT(H12:H21)=0,"",INDEX(H12:H21,COUNT(H12:H21)))</f>
        <v/>
      </c>
    </row>
    <row r="29">
      <c r="A29" s="11" t="inlineStr">
        <is>
          <t>Hazard: last interval ÷ first interval</t>
        </is>
      </c>
      <c r="E29" s="28">
        <f>IF(COUNT(E12:E21)&lt;2,"",IF(E12=0,"",INDEX(E12:E21,COUNT(E12:E21))/E12))</f>
        <v/>
      </c>
    </row>
  </sheetData>
  <mergeCells count="8">
    <mergeCell ref="A23:D23"/>
    <mergeCell ref="A27:D27"/>
    <mergeCell ref="A26:D26"/>
    <mergeCell ref="A29:D29"/>
    <mergeCell ref="A25:D25"/>
    <mergeCell ref="C8:N8"/>
    <mergeCell ref="A24:D24"/>
    <mergeCell ref="A28:D28"/>
  </mergeCells>
  <pageMargins left="0.75" right="0.75" top="1" bottom="1" header="0.5" footer="0.5"/>
  <pageSetup orientation="landscape" paperSize="1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0" customWidth="1" min="11" max="11"/>
    <col width="11" customWidth="1" min="12" max="12"/>
    <col width="11" customWidth="1" min="13" max="13"/>
    <col width="10" customWidth="1" min="14" max="14"/>
  </cols>
  <sheetData>
    <row r="1">
      <c r="A1" s="1" t="inlineStr">
        <is>
          <t>Stratified life tables (failure mode, model, lot or period) — Example (Kestran, fictional)</t>
        </is>
      </c>
    </row>
    <row r="2">
      <c r="A2" s="2" t="inlineStr">
        <is>
          <t>Signal Management in Medical Device Vigilance · Selim Medical Press · © 2026 · Tool T-8 · Chapter 10</t>
        </is>
      </c>
    </row>
    <row r="3">
      <c r="A3" s="2" t="inlineStr">
        <is>
          <t>Educational template — adapt to your quality system. Not a regulatory requirement. All example data are fictional.</t>
        </is>
      </c>
    </row>
    <row r="4">
      <c r="A4" s="5" t="inlineStr">
        <is>
          <t>Legend:</t>
        </is>
      </c>
      <c r="B4" s="6" t="inlineStr">
        <is>
          <t>Input (edit)</t>
        </is>
      </c>
      <c r="C4" s="10" t="inlineStr">
        <is>
          <t>Calculated (do not edit)</t>
        </is>
      </c>
    </row>
    <row r="6">
      <c r="A6" s="11" t="inlineStr">
        <is>
          <t>Confidence level</t>
        </is>
      </c>
      <c r="C6" s="12" t="n">
        <v>0.95</v>
      </c>
      <c r="E6" s="2" t="inlineStr">
        <is>
          <t>For a failure-mode stratum, count only that mode's failures and treat the other mode as censored. In the example, at-risk counts are those of the pooled table, as in the book (Chapter 10, Step 6).</t>
        </is>
      </c>
    </row>
    <row r="7">
      <c r="A7" s="11" t="inlineStr">
        <is>
          <t>z</t>
        </is>
      </c>
      <c r="C7" s="13">
        <f>_xlfn.NORM.S.INV(1-(1-C6)/2)</f>
        <v/>
      </c>
    </row>
    <row r="9">
      <c r="A9" s="16" t="inlineStr">
        <is>
          <t>STRATUM 1 — Header fracture (early mode)</t>
        </is>
      </c>
    </row>
    <row r="10" ht="45" customHeight="1">
      <c r="A10" s="7" t="inlineStr">
        <is>
          <t>Interval (e.g., year since implant)</t>
        </is>
      </c>
      <c r="B10" s="7" t="inlineStr">
        <is>
          <t>At risk at start (n)</t>
        </is>
      </c>
      <c r="C10" s="7" t="inlineStr">
        <is>
          <t>Failures (d)</t>
        </is>
      </c>
      <c r="D10" s="7" t="inlineStr">
        <is>
          <t>Censored (c) — record only</t>
        </is>
      </c>
      <c r="E10" s="7" t="inlineStr">
        <is>
          <t>Interval hazard d ÷ n</t>
        </is>
      </c>
      <c r="F10" s="7" t="inlineStr">
        <is>
          <t>Conditional survival 1 − d/n</t>
        </is>
      </c>
      <c r="G10" s="7" t="inlineStr">
        <is>
          <t>Kaplan–Meier survival S</t>
        </is>
      </c>
      <c r="H10" s="7" t="inlineStr">
        <is>
          <t>Cumulative failure 1 − S</t>
        </is>
      </c>
      <c r="I10" s="7" t="inlineStr">
        <is>
          <t>Greenwood term d ÷ [n(n − d)]</t>
        </is>
      </c>
      <c r="J10" s="7" t="inlineStr">
        <is>
          <t>Greenwood sum</t>
        </is>
      </c>
      <c r="K10" s="7" t="inlineStr">
        <is>
          <t>SE of S</t>
        </is>
      </c>
      <c r="L10" s="7" t="inlineStr">
        <is>
          <t>Lower CI (linear)</t>
        </is>
      </c>
      <c r="M10" s="7" t="inlineStr">
        <is>
          <t>Upper CI (linear)</t>
        </is>
      </c>
      <c r="N10" s="7" t="inlineStr">
        <is>
          <t>Truncated at 0 or 100%?</t>
        </is>
      </c>
    </row>
    <row r="11">
      <c r="A11" s="6" t="n">
        <v>1</v>
      </c>
      <c r="B11" s="17" t="n">
        <v>4000</v>
      </c>
      <c r="C11" s="18" t="n">
        <v>2</v>
      </c>
      <c r="D11" s="17" t="n"/>
      <c r="E11" s="19">
        <f>IF(OR($B11="",$C11=""),"",C11/B11)</f>
        <v/>
      </c>
      <c r="F11" s="20">
        <f>IF(OR($B11="",$C11=""),"",1-E11)</f>
        <v/>
      </c>
      <c r="G11" s="21">
        <f>IF(OR($B11="",$C11=""),"",1*F11)</f>
        <v/>
      </c>
      <c r="H11" s="21">
        <f>IF(OR($B11="",$C11=""),"",1-G11)</f>
        <v/>
      </c>
      <c r="I11" s="22">
        <f>IF(OR($B11="",$C11=""),"",IF(B11=C11,0,C11/(B11*(B11-C11))))</f>
        <v/>
      </c>
      <c r="J11" s="22">
        <f>IF(OR($B11="",$C11=""),"",0+I11)</f>
        <v/>
      </c>
      <c r="K11" s="23">
        <f>IF(OR($B11="",$C11=""),"",G11*SQRT(J11))</f>
        <v/>
      </c>
      <c r="L11" s="21">
        <f>IF(OR($B11="",$C11=""),"",MAX(0,G11-$C$7*K11))</f>
        <v/>
      </c>
      <c r="M11" s="21">
        <f>IF(OR($B11="",$C11=""),"",MIN(1,G11+$C$7*K11))</f>
        <v/>
      </c>
      <c r="N11" s="10">
        <f>IF(OR($B11="",$C11=""),"",IF(OR(G11+$C$7*K11&gt;1,G11-$C$7*K11&lt;0),"Yes","No"))</f>
        <v/>
      </c>
    </row>
    <row r="12">
      <c r="A12" s="6" t="n">
        <v>2</v>
      </c>
      <c r="B12" s="17" t="n">
        <v>4000</v>
      </c>
      <c r="C12" s="18" t="n">
        <v>2</v>
      </c>
      <c r="D12" s="17" t="n"/>
      <c r="E12" s="19">
        <f>IF(OR($B12="",$C12=""),"",C12/B12)</f>
        <v/>
      </c>
      <c r="F12" s="20">
        <f>IF(OR($B12="",$C12=""),"",1-E12)</f>
        <v/>
      </c>
      <c r="G12" s="21">
        <f>IF(OR($B12="",$C12=""),"",IF(ISNUMBER(G11),G11,1)*F12)</f>
        <v/>
      </c>
      <c r="H12" s="21">
        <f>IF(OR($B12="",$C12=""),"",1-G12)</f>
        <v/>
      </c>
      <c r="I12" s="22">
        <f>IF(OR($B12="",$C12=""),"",IF(B12=C12,0,C12/(B12*(B12-C12))))</f>
        <v/>
      </c>
      <c r="J12" s="22">
        <f>IF(OR($B12="",$C12=""),"",N(J11)+I12)</f>
        <v/>
      </c>
      <c r="K12" s="23">
        <f>IF(OR($B12="",$C12=""),"",G12*SQRT(J12))</f>
        <v/>
      </c>
      <c r="L12" s="21">
        <f>IF(OR($B12="",$C12=""),"",MAX(0,G12-$C$7*K12))</f>
        <v/>
      </c>
      <c r="M12" s="21">
        <f>IF(OR($B12="",$C12=""),"",MIN(1,G12+$C$7*K12))</f>
        <v/>
      </c>
      <c r="N12" s="10">
        <f>IF(OR($B12="",$C12=""),"",IF(OR(G12+$C$7*K12&gt;1,G12-$C$7*K12&lt;0),"Yes","No"))</f>
        <v/>
      </c>
    </row>
    <row r="13">
      <c r="A13" s="6" t="n">
        <v>3</v>
      </c>
      <c r="B13" s="17" t="n">
        <v>3200</v>
      </c>
      <c r="C13" s="18" t="n">
        <v>3</v>
      </c>
      <c r="D13" s="17" t="n"/>
      <c r="E13" s="19">
        <f>IF(OR($B13="",$C13=""),"",C13/B13)</f>
        <v/>
      </c>
      <c r="F13" s="20">
        <f>IF(OR($B13="",$C13=""),"",1-E13)</f>
        <v/>
      </c>
      <c r="G13" s="21">
        <f>IF(OR($B13="",$C13=""),"",IF(ISNUMBER(G12),G12,1)*F13)</f>
        <v/>
      </c>
      <c r="H13" s="21">
        <f>IF(OR($B13="",$C13=""),"",1-G13)</f>
        <v/>
      </c>
      <c r="I13" s="22">
        <f>IF(OR($B13="",$C13=""),"",IF(B13=C13,0,C13/(B13*(B13-C13))))</f>
        <v/>
      </c>
      <c r="J13" s="22">
        <f>IF(OR($B13="",$C13=""),"",N(J12)+I13)</f>
        <v/>
      </c>
      <c r="K13" s="23">
        <f>IF(OR($B13="",$C13=""),"",G13*SQRT(J13))</f>
        <v/>
      </c>
      <c r="L13" s="21">
        <f>IF(OR($B13="",$C13=""),"",MAX(0,G13-$C$7*K13))</f>
        <v/>
      </c>
      <c r="M13" s="21">
        <f>IF(OR($B13="",$C13=""),"",MIN(1,G13+$C$7*K13))</f>
        <v/>
      </c>
      <c r="N13" s="10">
        <f>IF(OR($B13="",$C13=""),"",IF(OR(G13+$C$7*K13&gt;1,G13-$C$7*K13&lt;0),"Yes","No"))</f>
        <v/>
      </c>
    </row>
    <row r="14">
      <c r="A14" s="6" t="n">
        <v>4</v>
      </c>
      <c r="B14" s="17" t="n">
        <v>2400</v>
      </c>
      <c r="C14" s="18" t="n">
        <v>0</v>
      </c>
      <c r="D14" s="17" t="n"/>
      <c r="E14" s="19">
        <f>IF(OR($B14="",$C14=""),"",C14/B14)</f>
        <v/>
      </c>
      <c r="F14" s="20">
        <f>IF(OR($B14="",$C14=""),"",1-E14)</f>
        <v/>
      </c>
      <c r="G14" s="21">
        <f>IF(OR($B14="",$C14=""),"",IF(ISNUMBER(G13),G13,1)*F14)</f>
        <v/>
      </c>
      <c r="H14" s="21">
        <f>IF(OR($B14="",$C14=""),"",1-G14)</f>
        <v/>
      </c>
      <c r="I14" s="22">
        <f>IF(OR($B14="",$C14=""),"",IF(B14=C14,0,C14/(B14*(B14-C14))))</f>
        <v/>
      </c>
      <c r="J14" s="22">
        <f>IF(OR($B14="",$C14=""),"",N(J13)+I14)</f>
        <v/>
      </c>
      <c r="K14" s="23">
        <f>IF(OR($B14="",$C14=""),"",G14*SQRT(J14))</f>
        <v/>
      </c>
      <c r="L14" s="21">
        <f>IF(OR($B14="",$C14=""),"",MAX(0,G14-$C$7*K14))</f>
        <v/>
      </c>
      <c r="M14" s="21">
        <f>IF(OR($B14="",$C14=""),"",MIN(1,G14+$C$7*K14))</f>
        <v/>
      </c>
      <c r="N14" s="10">
        <f>IF(OR($B14="",$C14=""),"",IF(OR(G14+$C$7*K14&gt;1,G14-$C$7*K14&lt;0),"Yes","No"))</f>
        <v/>
      </c>
    </row>
    <row r="15">
      <c r="A15" s="6" t="n">
        <v>5</v>
      </c>
      <c r="B15" s="17" t="n">
        <v>1600</v>
      </c>
      <c r="C15" s="18" t="n">
        <v>0</v>
      </c>
      <c r="D15" s="17" t="n"/>
      <c r="E15" s="19">
        <f>IF(OR($B15="",$C15=""),"",C15/B15)</f>
        <v/>
      </c>
      <c r="F15" s="20">
        <f>IF(OR($B15="",$C15=""),"",1-E15)</f>
        <v/>
      </c>
      <c r="G15" s="21">
        <f>IF(OR($B15="",$C15=""),"",IF(ISNUMBER(G14),G14,1)*F15)</f>
        <v/>
      </c>
      <c r="H15" s="21">
        <f>IF(OR($B15="",$C15=""),"",1-G15)</f>
        <v/>
      </c>
      <c r="I15" s="22">
        <f>IF(OR($B15="",$C15=""),"",IF(B15=C15,0,C15/(B15*(B15-C15))))</f>
        <v/>
      </c>
      <c r="J15" s="22">
        <f>IF(OR($B15="",$C15=""),"",N(J14)+I15)</f>
        <v/>
      </c>
      <c r="K15" s="23">
        <f>IF(OR($B15="",$C15=""),"",G15*SQRT(J15))</f>
        <v/>
      </c>
      <c r="L15" s="21">
        <f>IF(OR($B15="",$C15=""),"",MAX(0,G15-$C$7*K15))</f>
        <v/>
      </c>
      <c r="M15" s="21">
        <f>IF(OR($B15="",$C15=""),"",MIN(1,G15+$C$7*K15))</f>
        <v/>
      </c>
      <c r="N15" s="10">
        <f>IF(OR($B15="",$C15=""),"",IF(OR(G15+$C$7*K15&gt;1,G15-$C$7*K15&lt;0),"Yes","No"))</f>
        <v/>
      </c>
    </row>
    <row r="16">
      <c r="A16" s="6" t="n"/>
      <c r="B16" s="17" t="n"/>
      <c r="C16" s="18" t="n"/>
      <c r="D16" s="17" t="n"/>
      <c r="E16" s="19">
        <f>IF(OR($B16="",$C16=""),"",C16/B16)</f>
        <v/>
      </c>
      <c r="F16" s="20">
        <f>IF(OR($B16="",$C16=""),"",1-E16)</f>
        <v/>
      </c>
      <c r="G16" s="21">
        <f>IF(OR($B16="",$C16=""),"",IF(ISNUMBER(G15),G15,1)*F16)</f>
        <v/>
      </c>
      <c r="H16" s="21">
        <f>IF(OR($B16="",$C16=""),"",1-G16)</f>
        <v/>
      </c>
      <c r="I16" s="22">
        <f>IF(OR($B16="",$C16=""),"",IF(B16=C16,0,C16/(B16*(B16-C16))))</f>
        <v/>
      </c>
      <c r="J16" s="22">
        <f>IF(OR($B16="",$C16=""),"",N(J15)+I16)</f>
        <v/>
      </c>
      <c r="K16" s="23">
        <f>IF(OR($B16="",$C16=""),"",G16*SQRT(J16))</f>
        <v/>
      </c>
      <c r="L16" s="21">
        <f>IF(OR($B16="",$C16=""),"",MAX(0,G16-$C$7*K16))</f>
        <v/>
      </c>
      <c r="M16" s="21">
        <f>IF(OR($B16="",$C16=""),"",MIN(1,G16+$C$7*K16))</f>
        <v/>
      </c>
      <c r="N16" s="10">
        <f>IF(OR($B16="",$C16=""),"",IF(OR(G16+$C$7*K16&gt;1,G16-$C$7*K16&lt;0),"Yes","No"))</f>
        <v/>
      </c>
    </row>
    <row r="17">
      <c r="A17" s="6" t="n"/>
      <c r="B17" s="17" t="n"/>
      <c r="C17" s="18" t="n"/>
      <c r="D17" s="17" t="n"/>
      <c r="E17" s="19">
        <f>IF(OR($B17="",$C17=""),"",C17/B17)</f>
        <v/>
      </c>
      <c r="F17" s="20">
        <f>IF(OR($B17="",$C17=""),"",1-E17)</f>
        <v/>
      </c>
      <c r="G17" s="21">
        <f>IF(OR($B17="",$C17=""),"",IF(ISNUMBER(G16),G16,1)*F17)</f>
        <v/>
      </c>
      <c r="H17" s="21">
        <f>IF(OR($B17="",$C17=""),"",1-G17)</f>
        <v/>
      </c>
      <c r="I17" s="22">
        <f>IF(OR($B17="",$C17=""),"",IF(B17=C17,0,C17/(B17*(B17-C17))))</f>
        <v/>
      </c>
      <c r="J17" s="22">
        <f>IF(OR($B17="",$C17=""),"",N(J16)+I17)</f>
        <v/>
      </c>
      <c r="K17" s="23">
        <f>IF(OR($B17="",$C17=""),"",G17*SQRT(J17))</f>
        <v/>
      </c>
      <c r="L17" s="21">
        <f>IF(OR($B17="",$C17=""),"",MAX(0,G17-$C$7*K17))</f>
        <v/>
      </c>
      <c r="M17" s="21">
        <f>IF(OR($B17="",$C17=""),"",MIN(1,G17+$C$7*K17))</f>
        <v/>
      </c>
      <c r="N17" s="10">
        <f>IF(OR($B17="",$C17=""),"",IF(OR(G17+$C$7*K17&gt;1,G17-$C$7*K17&lt;0),"Yes","No"))</f>
        <v/>
      </c>
    </row>
    <row r="18">
      <c r="A18" s="6" t="n"/>
      <c r="B18" s="17" t="n"/>
      <c r="C18" s="18" t="n"/>
      <c r="D18" s="17" t="n"/>
      <c r="E18" s="19">
        <f>IF(OR($B18="",$C18=""),"",C18/B18)</f>
        <v/>
      </c>
      <c r="F18" s="20">
        <f>IF(OR($B18="",$C18=""),"",1-E18)</f>
        <v/>
      </c>
      <c r="G18" s="21">
        <f>IF(OR($B18="",$C18=""),"",IF(ISNUMBER(G17),G17,1)*F18)</f>
        <v/>
      </c>
      <c r="H18" s="21">
        <f>IF(OR($B18="",$C18=""),"",1-G18)</f>
        <v/>
      </c>
      <c r="I18" s="22">
        <f>IF(OR($B18="",$C18=""),"",IF(B18=C18,0,C18/(B18*(B18-C18))))</f>
        <v/>
      </c>
      <c r="J18" s="22">
        <f>IF(OR($B18="",$C18=""),"",N(J17)+I18)</f>
        <v/>
      </c>
      <c r="K18" s="23">
        <f>IF(OR($B18="",$C18=""),"",G18*SQRT(J18))</f>
        <v/>
      </c>
      <c r="L18" s="21">
        <f>IF(OR($B18="",$C18=""),"",MAX(0,G18-$C$7*K18))</f>
        <v/>
      </c>
      <c r="M18" s="21">
        <f>IF(OR($B18="",$C18=""),"",MIN(1,G18+$C$7*K18))</f>
        <v/>
      </c>
      <c r="N18" s="10">
        <f>IF(OR($B18="",$C18=""),"",IF(OR(G18+$C$7*K18&gt;1,G18-$C$7*K18&lt;0),"Yes","No"))</f>
        <v/>
      </c>
    </row>
    <row r="19">
      <c r="A19" s="16" t="inlineStr">
        <is>
          <t>Summary</t>
        </is>
      </c>
    </row>
    <row r="20">
      <c r="A20" s="11" t="inlineStr">
        <is>
          <t>Crude proportion = total failures ÷ at risk in first interval</t>
        </is>
      </c>
      <c r="E20" s="25">
        <f>IF(COUNT(C11:C18)=0,"",SUM(C11:C18)/B11)</f>
        <v/>
      </c>
    </row>
    <row r="21">
      <c r="A21" s="11" t="inlineStr">
        <is>
          <t>Total failures</t>
        </is>
      </c>
      <c r="E21" s="26">
        <f>IF(COUNT(C11:C18)=0,"",SUM(C11:C18))</f>
        <v/>
      </c>
    </row>
    <row r="22">
      <c r="A22" s="11" t="inlineStr">
        <is>
          <t>Survival at last completed interval</t>
        </is>
      </c>
      <c r="E22" s="27">
        <f>IF(COUNT(G11:G18)=0,"",INDEX(G11:G18,COUNT(G11:G18)))</f>
        <v/>
      </c>
    </row>
    <row r="23">
      <c r="A23" s="11" t="inlineStr">
        <is>
          <t xml:space="preserve">  lower CI</t>
        </is>
      </c>
      <c r="E23" s="27">
        <f>IF(COUNT(L11:L18)=0,"",INDEX(L11:L18,COUNT(L11:L18)))</f>
        <v/>
      </c>
    </row>
    <row r="24">
      <c r="A24" s="11" t="inlineStr">
        <is>
          <t xml:space="preserve">  upper CI</t>
        </is>
      </c>
      <c r="E24" s="27">
        <f>IF(COUNT(M11:M18)=0,"",INDEX(M11:M18,COUNT(M11:M18)))</f>
        <v/>
      </c>
    </row>
    <row r="25">
      <c r="A25" s="11" t="inlineStr">
        <is>
          <t>Cumulative failure probability at last interval</t>
        </is>
      </c>
      <c r="E25" s="25">
        <f>IF(COUNT(H11:H18)=0,"",INDEX(H11:H18,COUNT(H11:H18)))</f>
        <v/>
      </c>
    </row>
    <row r="26">
      <c r="A26" s="11" t="inlineStr">
        <is>
          <t>Hazard: last interval ÷ first interval</t>
        </is>
      </c>
      <c r="E26" s="28">
        <f>IF(COUNT(E11:E18)&lt;2,"",IF(E11=0,"",INDEX(E11:E18,COUNT(E11:E18))/E11))</f>
        <v/>
      </c>
    </row>
    <row r="29">
      <c r="A29" s="16" t="inlineStr">
        <is>
          <t>STRATUM 2 — Conductor fracture at the subclavian crossing (wear-out mode)</t>
        </is>
      </c>
    </row>
    <row r="30" ht="45" customHeight="1">
      <c r="A30" s="7" t="inlineStr">
        <is>
          <t>Interval (e.g., year since implant)</t>
        </is>
      </c>
      <c r="B30" s="7" t="inlineStr">
        <is>
          <t>At risk at start (n)</t>
        </is>
      </c>
      <c r="C30" s="7" t="inlineStr">
        <is>
          <t>Failures (d)</t>
        </is>
      </c>
      <c r="D30" s="7" t="inlineStr">
        <is>
          <t>Censored (c) — record only</t>
        </is>
      </c>
      <c r="E30" s="7" t="inlineStr">
        <is>
          <t>Interval hazard d ÷ n</t>
        </is>
      </c>
      <c r="F30" s="7" t="inlineStr">
        <is>
          <t>Conditional survival 1 − d/n</t>
        </is>
      </c>
      <c r="G30" s="7" t="inlineStr">
        <is>
          <t>Kaplan–Meier survival S</t>
        </is>
      </c>
      <c r="H30" s="7" t="inlineStr">
        <is>
          <t>Cumulative failure 1 − S</t>
        </is>
      </c>
      <c r="I30" s="7" t="inlineStr">
        <is>
          <t>Greenwood term d ÷ [n(n − d)]</t>
        </is>
      </c>
      <c r="J30" s="7" t="inlineStr">
        <is>
          <t>Greenwood sum</t>
        </is>
      </c>
      <c r="K30" s="7" t="inlineStr">
        <is>
          <t>SE of S</t>
        </is>
      </c>
      <c r="L30" s="7" t="inlineStr">
        <is>
          <t>Lower CI (linear)</t>
        </is>
      </c>
      <c r="M30" s="7" t="inlineStr">
        <is>
          <t>Upper CI (linear)</t>
        </is>
      </c>
      <c r="N30" s="7" t="inlineStr">
        <is>
          <t>Truncated at 0 or 100%?</t>
        </is>
      </c>
    </row>
    <row r="31">
      <c r="A31" s="6" t="n">
        <v>1</v>
      </c>
      <c r="B31" s="17" t="n">
        <v>4000</v>
      </c>
      <c r="C31" s="18" t="n">
        <v>1</v>
      </c>
      <c r="D31" s="17" t="n"/>
      <c r="E31" s="19">
        <f>IF(OR($B31="",$C31=""),"",C31/B31)</f>
        <v/>
      </c>
      <c r="F31" s="20">
        <f>IF(OR($B31="",$C31=""),"",1-E31)</f>
        <v/>
      </c>
      <c r="G31" s="21">
        <f>IF(OR($B31="",$C31=""),"",1*F31)</f>
        <v/>
      </c>
      <c r="H31" s="21">
        <f>IF(OR($B31="",$C31=""),"",1-G31)</f>
        <v/>
      </c>
      <c r="I31" s="22">
        <f>IF(OR($B31="",$C31=""),"",IF(B31=C31,0,C31/(B31*(B31-C31))))</f>
        <v/>
      </c>
      <c r="J31" s="22">
        <f>IF(OR($B31="",$C31=""),"",0+I31)</f>
        <v/>
      </c>
      <c r="K31" s="23">
        <f>IF(OR($B31="",$C31=""),"",G31*SQRT(J31))</f>
        <v/>
      </c>
      <c r="L31" s="21">
        <f>IF(OR($B31="",$C31=""),"",MAX(0,G31-$C$7*K31))</f>
        <v/>
      </c>
      <c r="M31" s="21">
        <f>IF(OR($B31="",$C31=""),"",MIN(1,G31+$C$7*K31))</f>
        <v/>
      </c>
      <c r="N31" s="10">
        <f>IF(OR($B31="",$C31=""),"",IF(OR(G31+$C$7*K31&gt;1,G31-$C$7*K31&lt;0),"Yes","No"))</f>
        <v/>
      </c>
    </row>
    <row r="32">
      <c r="A32" s="6" t="n">
        <v>2</v>
      </c>
      <c r="B32" s="17" t="n">
        <v>4000</v>
      </c>
      <c r="C32" s="18" t="n">
        <v>2</v>
      </c>
      <c r="D32" s="17" t="n"/>
      <c r="E32" s="19">
        <f>IF(OR($B32="",$C32=""),"",C32/B32)</f>
        <v/>
      </c>
      <c r="F32" s="20">
        <f>IF(OR($B32="",$C32=""),"",1-E32)</f>
        <v/>
      </c>
      <c r="G32" s="21">
        <f>IF(OR($B32="",$C32=""),"",IF(ISNUMBER(G31),G31,1)*F32)</f>
        <v/>
      </c>
      <c r="H32" s="21">
        <f>IF(OR($B32="",$C32=""),"",1-G32)</f>
        <v/>
      </c>
      <c r="I32" s="22">
        <f>IF(OR($B32="",$C32=""),"",IF(B32=C32,0,C32/(B32*(B32-C32))))</f>
        <v/>
      </c>
      <c r="J32" s="22">
        <f>IF(OR($B32="",$C32=""),"",N(J31)+I32)</f>
        <v/>
      </c>
      <c r="K32" s="23">
        <f>IF(OR($B32="",$C32=""),"",G32*SQRT(J32))</f>
        <v/>
      </c>
      <c r="L32" s="21">
        <f>IF(OR($B32="",$C32=""),"",MAX(0,G32-$C$7*K32))</f>
        <v/>
      </c>
      <c r="M32" s="21">
        <f>IF(OR($B32="",$C32=""),"",MIN(1,G32+$C$7*K32))</f>
        <v/>
      </c>
      <c r="N32" s="10">
        <f>IF(OR($B32="",$C32=""),"",IF(OR(G32+$C$7*K32&gt;1,G32-$C$7*K32&lt;0),"Yes","No"))</f>
        <v/>
      </c>
    </row>
    <row r="33">
      <c r="A33" s="6" t="n">
        <v>3</v>
      </c>
      <c r="B33" s="17" t="n">
        <v>3200</v>
      </c>
      <c r="C33" s="18" t="n">
        <v>2</v>
      </c>
      <c r="D33" s="17" t="n"/>
      <c r="E33" s="19">
        <f>IF(OR($B33="",$C33=""),"",C33/B33)</f>
        <v/>
      </c>
      <c r="F33" s="20">
        <f>IF(OR($B33="",$C33=""),"",1-E33)</f>
        <v/>
      </c>
      <c r="G33" s="21">
        <f>IF(OR($B33="",$C33=""),"",IF(ISNUMBER(G32),G32,1)*F33)</f>
        <v/>
      </c>
      <c r="H33" s="21">
        <f>IF(OR($B33="",$C33=""),"",1-G33)</f>
        <v/>
      </c>
      <c r="I33" s="22">
        <f>IF(OR($B33="",$C33=""),"",IF(B33=C33,0,C33/(B33*(B33-C33))))</f>
        <v/>
      </c>
      <c r="J33" s="22">
        <f>IF(OR($B33="",$C33=""),"",N(J32)+I33)</f>
        <v/>
      </c>
      <c r="K33" s="23">
        <f>IF(OR($B33="",$C33=""),"",G33*SQRT(J33))</f>
        <v/>
      </c>
      <c r="L33" s="21">
        <f>IF(OR($B33="",$C33=""),"",MAX(0,G33-$C$7*K33))</f>
        <v/>
      </c>
      <c r="M33" s="21">
        <f>IF(OR($B33="",$C33=""),"",MIN(1,G33+$C$7*K33))</f>
        <v/>
      </c>
      <c r="N33" s="10">
        <f>IF(OR($B33="",$C33=""),"",IF(OR(G33+$C$7*K33&gt;1,G33-$C$7*K33&lt;0),"Yes","No"))</f>
        <v/>
      </c>
    </row>
    <row r="34">
      <c r="A34" s="6" t="n">
        <v>4</v>
      </c>
      <c r="B34" s="17" t="n">
        <v>2400</v>
      </c>
      <c r="C34" s="18" t="n">
        <v>14</v>
      </c>
      <c r="D34" s="17" t="n"/>
      <c r="E34" s="19">
        <f>IF(OR($B34="",$C34=""),"",C34/B34)</f>
        <v/>
      </c>
      <c r="F34" s="20">
        <f>IF(OR($B34="",$C34=""),"",1-E34)</f>
        <v/>
      </c>
      <c r="G34" s="21">
        <f>IF(OR($B34="",$C34=""),"",IF(ISNUMBER(G33),G33,1)*F34)</f>
        <v/>
      </c>
      <c r="H34" s="21">
        <f>IF(OR($B34="",$C34=""),"",1-G34)</f>
        <v/>
      </c>
      <c r="I34" s="22">
        <f>IF(OR($B34="",$C34=""),"",IF(B34=C34,0,C34/(B34*(B34-C34))))</f>
        <v/>
      </c>
      <c r="J34" s="22">
        <f>IF(OR($B34="",$C34=""),"",N(J33)+I34)</f>
        <v/>
      </c>
      <c r="K34" s="23">
        <f>IF(OR($B34="",$C34=""),"",G34*SQRT(J34))</f>
        <v/>
      </c>
      <c r="L34" s="21">
        <f>IF(OR($B34="",$C34=""),"",MAX(0,G34-$C$7*K34))</f>
        <v/>
      </c>
      <c r="M34" s="21">
        <f>IF(OR($B34="",$C34=""),"",MIN(1,G34+$C$7*K34))</f>
        <v/>
      </c>
      <c r="N34" s="10">
        <f>IF(OR($B34="",$C34=""),"",IF(OR(G34+$C$7*K34&gt;1,G34-$C$7*K34&lt;0),"Yes","No"))</f>
        <v/>
      </c>
    </row>
    <row r="35">
      <c r="A35" s="6" t="n">
        <v>5</v>
      </c>
      <c r="B35" s="17" t="n">
        <v>1600</v>
      </c>
      <c r="C35" s="18" t="n">
        <v>22</v>
      </c>
      <c r="D35" s="17" t="n"/>
      <c r="E35" s="19">
        <f>IF(OR($B35="",$C35=""),"",C35/B35)</f>
        <v/>
      </c>
      <c r="F35" s="20">
        <f>IF(OR($B35="",$C35=""),"",1-E35)</f>
        <v/>
      </c>
      <c r="G35" s="21">
        <f>IF(OR($B35="",$C35=""),"",IF(ISNUMBER(G34),G34,1)*F35)</f>
        <v/>
      </c>
      <c r="H35" s="21">
        <f>IF(OR($B35="",$C35=""),"",1-G35)</f>
        <v/>
      </c>
      <c r="I35" s="22">
        <f>IF(OR($B35="",$C35=""),"",IF(B35=C35,0,C35/(B35*(B35-C35))))</f>
        <v/>
      </c>
      <c r="J35" s="22">
        <f>IF(OR($B35="",$C35=""),"",N(J34)+I35)</f>
        <v/>
      </c>
      <c r="K35" s="23">
        <f>IF(OR($B35="",$C35=""),"",G35*SQRT(J35))</f>
        <v/>
      </c>
      <c r="L35" s="21">
        <f>IF(OR($B35="",$C35=""),"",MAX(0,G35-$C$7*K35))</f>
        <v/>
      </c>
      <c r="M35" s="21">
        <f>IF(OR($B35="",$C35=""),"",MIN(1,G35+$C$7*K35))</f>
        <v/>
      </c>
      <c r="N35" s="10">
        <f>IF(OR($B35="",$C35=""),"",IF(OR(G35+$C$7*K35&gt;1,G35-$C$7*K35&lt;0),"Yes","No"))</f>
        <v/>
      </c>
    </row>
    <row r="36">
      <c r="A36" s="6" t="n"/>
      <c r="B36" s="17" t="n"/>
      <c r="C36" s="18" t="n"/>
      <c r="D36" s="17" t="n"/>
      <c r="E36" s="19">
        <f>IF(OR($B36="",$C36=""),"",C36/B36)</f>
        <v/>
      </c>
      <c r="F36" s="20">
        <f>IF(OR($B36="",$C36=""),"",1-E36)</f>
        <v/>
      </c>
      <c r="G36" s="21">
        <f>IF(OR($B36="",$C36=""),"",IF(ISNUMBER(G35),G35,1)*F36)</f>
        <v/>
      </c>
      <c r="H36" s="21">
        <f>IF(OR($B36="",$C36=""),"",1-G36)</f>
        <v/>
      </c>
      <c r="I36" s="22">
        <f>IF(OR($B36="",$C36=""),"",IF(B36=C36,0,C36/(B36*(B36-C36))))</f>
        <v/>
      </c>
      <c r="J36" s="22">
        <f>IF(OR($B36="",$C36=""),"",N(J35)+I36)</f>
        <v/>
      </c>
      <c r="K36" s="23">
        <f>IF(OR($B36="",$C36=""),"",G36*SQRT(J36))</f>
        <v/>
      </c>
      <c r="L36" s="21">
        <f>IF(OR($B36="",$C36=""),"",MAX(0,G36-$C$7*K36))</f>
        <v/>
      </c>
      <c r="M36" s="21">
        <f>IF(OR($B36="",$C36=""),"",MIN(1,G36+$C$7*K36))</f>
        <v/>
      </c>
      <c r="N36" s="10">
        <f>IF(OR($B36="",$C36=""),"",IF(OR(G36+$C$7*K36&gt;1,G36-$C$7*K36&lt;0),"Yes","No"))</f>
        <v/>
      </c>
    </row>
    <row r="37">
      <c r="A37" s="6" t="n"/>
      <c r="B37" s="17" t="n"/>
      <c r="C37" s="18" t="n"/>
      <c r="D37" s="17" t="n"/>
      <c r="E37" s="19">
        <f>IF(OR($B37="",$C37=""),"",C37/B37)</f>
        <v/>
      </c>
      <c r="F37" s="20">
        <f>IF(OR($B37="",$C37=""),"",1-E37)</f>
        <v/>
      </c>
      <c r="G37" s="21">
        <f>IF(OR($B37="",$C37=""),"",IF(ISNUMBER(G36),G36,1)*F37)</f>
        <v/>
      </c>
      <c r="H37" s="21">
        <f>IF(OR($B37="",$C37=""),"",1-G37)</f>
        <v/>
      </c>
      <c r="I37" s="22">
        <f>IF(OR($B37="",$C37=""),"",IF(B37=C37,0,C37/(B37*(B37-C37))))</f>
        <v/>
      </c>
      <c r="J37" s="22">
        <f>IF(OR($B37="",$C37=""),"",N(J36)+I37)</f>
        <v/>
      </c>
      <c r="K37" s="23">
        <f>IF(OR($B37="",$C37=""),"",G37*SQRT(J37))</f>
        <v/>
      </c>
      <c r="L37" s="21">
        <f>IF(OR($B37="",$C37=""),"",MAX(0,G37-$C$7*K37))</f>
        <v/>
      </c>
      <c r="M37" s="21">
        <f>IF(OR($B37="",$C37=""),"",MIN(1,G37+$C$7*K37))</f>
        <v/>
      </c>
      <c r="N37" s="10">
        <f>IF(OR($B37="",$C37=""),"",IF(OR(G37+$C$7*K37&gt;1,G37-$C$7*K37&lt;0),"Yes","No"))</f>
        <v/>
      </c>
    </row>
    <row r="38">
      <c r="A38" s="6" t="n"/>
      <c r="B38" s="17" t="n"/>
      <c r="C38" s="18" t="n"/>
      <c r="D38" s="17" t="n"/>
      <c r="E38" s="19">
        <f>IF(OR($B38="",$C38=""),"",C38/B38)</f>
        <v/>
      </c>
      <c r="F38" s="20">
        <f>IF(OR($B38="",$C38=""),"",1-E38)</f>
        <v/>
      </c>
      <c r="G38" s="21">
        <f>IF(OR($B38="",$C38=""),"",IF(ISNUMBER(G37),G37,1)*F38)</f>
        <v/>
      </c>
      <c r="H38" s="21">
        <f>IF(OR($B38="",$C38=""),"",1-G38)</f>
        <v/>
      </c>
      <c r="I38" s="22">
        <f>IF(OR($B38="",$C38=""),"",IF(B38=C38,0,C38/(B38*(B38-C38))))</f>
        <v/>
      </c>
      <c r="J38" s="22">
        <f>IF(OR($B38="",$C38=""),"",N(J37)+I38)</f>
        <v/>
      </c>
      <c r="K38" s="23">
        <f>IF(OR($B38="",$C38=""),"",G38*SQRT(J38))</f>
        <v/>
      </c>
      <c r="L38" s="21">
        <f>IF(OR($B38="",$C38=""),"",MAX(0,G38-$C$7*K38))</f>
        <v/>
      </c>
      <c r="M38" s="21">
        <f>IF(OR($B38="",$C38=""),"",MIN(1,G38+$C$7*K38))</f>
        <v/>
      </c>
      <c r="N38" s="10">
        <f>IF(OR($B38="",$C38=""),"",IF(OR(G38+$C$7*K38&gt;1,G38-$C$7*K38&lt;0),"Yes","No"))</f>
        <v/>
      </c>
    </row>
    <row r="39">
      <c r="A39" s="16" t="inlineStr">
        <is>
          <t>Summary</t>
        </is>
      </c>
    </row>
    <row r="40">
      <c r="A40" s="11" t="inlineStr">
        <is>
          <t>Crude proportion = total failures ÷ at risk in first interval</t>
        </is>
      </c>
      <c r="E40" s="25">
        <f>IF(COUNT(C31:C38)=0,"",SUM(C31:C38)/B31)</f>
        <v/>
      </c>
    </row>
    <row r="41">
      <c r="A41" s="11" t="inlineStr">
        <is>
          <t>Total failures</t>
        </is>
      </c>
      <c r="E41" s="26">
        <f>IF(COUNT(C31:C38)=0,"",SUM(C31:C38))</f>
        <v/>
      </c>
    </row>
    <row r="42">
      <c r="A42" s="11" t="inlineStr">
        <is>
          <t>Survival at last completed interval</t>
        </is>
      </c>
      <c r="E42" s="27">
        <f>IF(COUNT(G31:G38)=0,"",INDEX(G31:G38,COUNT(G31:G38)))</f>
        <v/>
      </c>
    </row>
    <row r="43">
      <c r="A43" s="11" t="inlineStr">
        <is>
          <t xml:space="preserve">  lower CI</t>
        </is>
      </c>
      <c r="E43" s="27">
        <f>IF(COUNT(L31:L38)=0,"",INDEX(L31:L38,COUNT(L31:L38)))</f>
        <v/>
      </c>
    </row>
    <row r="44">
      <c r="A44" s="11" t="inlineStr">
        <is>
          <t xml:space="preserve">  upper CI</t>
        </is>
      </c>
      <c r="E44" s="27">
        <f>IF(COUNT(M31:M38)=0,"",INDEX(M31:M38,COUNT(M31:M38)))</f>
        <v/>
      </c>
    </row>
    <row r="45">
      <c r="A45" s="11" t="inlineStr">
        <is>
          <t>Cumulative failure probability at last interval</t>
        </is>
      </c>
      <c r="E45" s="25">
        <f>IF(COUNT(H31:H38)=0,"",INDEX(H31:H38,COUNT(H31:H38)))</f>
        <v/>
      </c>
    </row>
    <row r="46">
      <c r="A46" s="11" t="inlineStr">
        <is>
          <t>Hazard: last interval ÷ first interval</t>
        </is>
      </c>
      <c r="E46" s="28">
        <f>IF(COUNT(E31:E38)&lt;2,"",IF(E31=0,"",INDEX(E31:E38,COUNT(E31:E38))/E31))</f>
        <v/>
      </c>
    </row>
    <row r="49">
      <c r="A49" s="2" t="inlineStr">
        <is>
          <t>Book reference: 5-year cumulative probability 0.19% for header fracture and 2.09% for conductor fracture. Weibull shape (fitted outside this workbook): pooled 3.0 (2.3–3.9); conductor 4.3 (3.2–5.6); header 0.8 (0.3–1.7).</t>
        </is>
      </c>
    </row>
  </sheetData>
  <mergeCells count="14">
    <mergeCell ref="A45:D45"/>
    <mergeCell ref="A23:D23"/>
    <mergeCell ref="A40:D40"/>
    <mergeCell ref="A22:D22"/>
    <mergeCell ref="A20:D20"/>
    <mergeCell ref="A21:D21"/>
    <mergeCell ref="A26:D26"/>
    <mergeCell ref="A25:D25"/>
    <mergeCell ref="A43:D43"/>
    <mergeCell ref="A24:D24"/>
    <mergeCell ref="A41:D41"/>
    <mergeCell ref="A42:D42"/>
    <mergeCell ref="A46:D46"/>
    <mergeCell ref="A44:D44"/>
  </mergeCells>
  <pageMargins left="0.75" right="0.75" top="1" bottom="1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0" customWidth="1" min="11" max="11"/>
    <col width="11" customWidth="1" min="12" max="12"/>
    <col width="11" customWidth="1" min="13" max="13"/>
    <col width="10" customWidth="1" min="14" max="14"/>
  </cols>
  <sheetData>
    <row r="1">
      <c r="A1" s="1" t="inlineStr">
        <is>
          <t>Stratified life tables (failure mode, model, lot or period) — Your data</t>
        </is>
      </c>
    </row>
    <row r="2">
      <c r="A2" s="2" t="inlineStr">
        <is>
          <t>Signal Management in Medical Device Vigilance · Selim Medical Press · © 2026 · Tool T-8 · Chapter 10</t>
        </is>
      </c>
    </row>
    <row r="3">
      <c r="A3" s="2" t="inlineStr">
        <is>
          <t>Educational template — adapt to your quality system. Not a regulatory requirement. All example data are fictional.</t>
        </is>
      </c>
    </row>
    <row r="4">
      <c r="A4" s="5" t="inlineStr">
        <is>
          <t>Legend:</t>
        </is>
      </c>
      <c r="B4" s="6" t="inlineStr">
        <is>
          <t>Input (edit)</t>
        </is>
      </c>
      <c r="C4" s="10" t="inlineStr">
        <is>
          <t>Calculated (do not edit)</t>
        </is>
      </c>
    </row>
    <row r="6">
      <c r="A6" s="11" t="inlineStr">
        <is>
          <t>Confidence level</t>
        </is>
      </c>
      <c r="C6" s="12" t="n">
        <v>0.95</v>
      </c>
      <c r="E6" s="2" t="inlineStr">
        <is>
          <t>For a failure-mode stratum, count only that mode's failures and treat the other mode as censored. In the example, at-risk counts are those of the pooled table, as in the book (Chapter 10, Step 6).</t>
        </is>
      </c>
    </row>
    <row r="7">
      <c r="A7" s="11" t="inlineStr">
        <is>
          <t>z</t>
        </is>
      </c>
      <c r="C7" s="13">
        <f>_xlfn.NORM.S.INV(1-(1-C6)/2)</f>
        <v/>
      </c>
    </row>
    <row r="9">
      <c r="A9" s="16" t="inlineStr">
        <is>
          <t>STRATUM 1 — name: ________</t>
        </is>
      </c>
    </row>
    <row r="10" ht="45" customHeight="1">
      <c r="A10" s="7" t="inlineStr">
        <is>
          <t>Interval (e.g., year since implant)</t>
        </is>
      </c>
      <c r="B10" s="7" t="inlineStr">
        <is>
          <t>At risk at start (n)</t>
        </is>
      </c>
      <c r="C10" s="7" t="inlineStr">
        <is>
          <t>Failures (d)</t>
        </is>
      </c>
      <c r="D10" s="7" t="inlineStr">
        <is>
          <t>Censored (c) — record only</t>
        </is>
      </c>
      <c r="E10" s="7" t="inlineStr">
        <is>
          <t>Interval hazard d ÷ n</t>
        </is>
      </c>
      <c r="F10" s="7" t="inlineStr">
        <is>
          <t>Conditional survival 1 − d/n</t>
        </is>
      </c>
      <c r="G10" s="7" t="inlineStr">
        <is>
          <t>Kaplan–Meier survival S</t>
        </is>
      </c>
      <c r="H10" s="7" t="inlineStr">
        <is>
          <t>Cumulative failure 1 − S</t>
        </is>
      </c>
      <c r="I10" s="7" t="inlineStr">
        <is>
          <t>Greenwood term d ÷ [n(n − d)]</t>
        </is>
      </c>
      <c r="J10" s="7" t="inlineStr">
        <is>
          <t>Greenwood sum</t>
        </is>
      </c>
      <c r="K10" s="7" t="inlineStr">
        <is>
          <t>SE of S</t>
        </is>
      </c>
      <c r="L10" s="7" t="inlineStr">
        <is>
          <t>Lower CI (linear)</t>
        </is>
      </c>
      <c r="M10" s="7" t="inlineStr">
        <is>
          <t>Upper CI (linear)</t>
        </is>
      </c>
      <c r="N10" s="7" t="inlineStr">
        <is>
          <t>Truncated at 0 or 100%?</t>
        </is>
      </c>
    </row>
    <row r="11">
      <c r="A11" s="6" t="n"/>
      <c r="B11" s="17" t="n"/>
      <c r="C11" s="18" t="n"/>
      <c r="D11" s="17" t="n"/>
      <c r="E11" s="19">
        <f>IF(OR($B11="",$C11=""),"",C11/B11)</f>
        <v/>
      </c>
      <c r="F11" s="20">
        <f>IF(OR($B11="",$C11=""),"",1-E11)</f>
        <v/>
      </c>
      <c r="G11" s="21">
        <f>IF(OR($B11="",$C11=""),"",1*F11)</f>
        <v/>
      </c>
      <c r="H11" s="21">
        <f>IF(OR($B11="",$C11=""),"",1-G11)</f>
        <v/>
      </c>
      <c r="I11" s="22">
        <f>IF(OR($B11="",$C11=""),"",IF(B11=C11,0,C11/(B11*(B11-C11))))</f>
        <v/>
      </c>
      <c r="J11" s="22">
        <f>IF(OR($B11="",$C11=""),"",0+I11)</f>
        <v/>
      </c>
      <c r="K11" s="23">
        <f>IF(OR($B11="",$C11=""),"",G11*SQRT(J11))</f>
        <v/>
      </c>
      <c r="L11" s="21">
        <f>IF(OR($B11="",$C11=""),"",MAX(0,G11-$C$7*K11))</f>
        <v/>
      </c>
      <c r="M11" s="21">
        <f>IF(OR($B11="",$C11=""),"",MIN(1,G11+$C$7*K11))</f>
        <v/>
      </c>
      <c r="N11" s="10">
        <f>IF(OR($B11="",$C11=""),"",IF(OR(G11+$C$7*K11&gt;1,G11-$C$7*K11&lt;0),"Yes","No"))</f>
        <v/>
      </c>
    </row>
    <row r="12">
      <c r="A12" s="6" t="n"/>
      <c r="B12" s="17" t="n"/>
      <c r="C12" s="18" t="n"/>
      <c r="D12" s="17" t="n"/>
      <c r="E12" s="19">
        <f>IF(OR($B12="",$C12=""),"",C12/B12)</f>
        <v/>
      </c>
      <c r="F12" s="20">
        <f>IF(OR($B12="",$C12=""),"",1-E12)</f>
        <v/>
      </c>
      <c r="G12" s="21">
        <f>IF(OR($B12="",$C12=""),"",IF(ISNUMBER(G11),G11,1)*F12)</f>
        <v/>
      </c>
      <c r="H12" s="21">
        <f>IF(OR($B12="",$C12=""),"",1-G12)</f>
        <v/>
      </c>
      <c r="I12" s="22">
        <f>IF(OR($B12="",$C12=""),"",IF(B12=C12,0,C12/(B12*(B12-C12))))</f>
        <v/>
      </c>
      <c r="J12" s="22">
        <f>IF(OR($B12="",$C12=""),"",N(J11)+I12)</f>
        <v/>
      </c>
      <c r="K12" s="23">
        <f>IF(OR($B12="",$C12=""),"",G12*SQRT(J12))</f>
        <v/>
      </c>
      <c r="L12" s="21">
        <f>IF(OR($B12="",$C12=""),"",MAX(0,G12-$C$7*K12))</f>
        <v/>
      </c>
      <c r="M12" s="21">
        <f>IF(OR($B12="",$C12=""),"",MIN(1,G12+$C$7*K12))</f>
        <v/>
      </c>
      <c r="N12" s="10">
        <f>IF(OR($B12="",$C12=""),"",IF(OR(G12+$C$7*K12&gt;1,G12-$C$7*K12&lt;0),"Yes","No"))</f>
        <v/>
      </c>
    </row>
    <row r="13">
      <c r="A13" s="6" t="n"/>
      <c r="B13" s="17" t="n"/>
      <c r="C13" s="18" t="n"/>
      <c r="D13" s="17" t="n"/>
      <c r="E13" s="19">
        <f>IF(OR($B13="",$C13=""),"",C13/B13)</f>
        <v/>
      </c>
      <c r="F13" s="20">
        <f>IF(OR($B13="",$C13=""),"",1-E13)</f>
        <v/>
      </c>
      <c r="G13" s="21">
        <f>IF(OR($B13="",$C13=""),"",IF(ISNUMBER(G12),G12,1)*F13)</f>
        <v/>
      </c>
      <c r="H13" s="21">
        <f>IF(OR($B13="",$C13=""),"",1-G13)</f>
        <v/>
      </c>
      <c r="I13" s="22">
        <f>IF(OR($B13="",$C13=""),"",IF(B13=C13,0,C13/(B13*(B13-C13))))</f>
        <v/>
      </c>
      <c r="J13" s="22">
        <f>IF(OR($B13="",$C13=""),"",N(J12)+I13)</f>
        <v/>
      </c>
      <c r="K13" s="23">
        <f>IF(OR($B13="",$C13=""),"",G13*SQRT(J13))</f>
        <v/>
      </c>
      <c r="L13" s="21">
        <f>IF(OR($B13="",$C13=""),"",MAX(0,G13-$C$7*K13))</f>
        <v/>
      </c>
      <c r="M13" s="21">
        <f>IF(OR($B13="",$C13=""),"",MIN(1,G13+$C$7*K13))</f>
        <v/>
      </c>
      <c r="N13" s="10">
        <f>IF(OR($B13="",$C13=""),"",IF(OR(G13+$C$7*K13&gt;1,G13-$C$7*K13&lt;0),"Yes","No"))</f>
        <v/>
      </c>
    </row>
    <row r="14">
      <c r="A14" s="6" t="n"/>
      <c r="B14" s="17" t="n"/>
      <c r="C14" s="18" t="n"/>
      <c r="D14" s="17" t="n"/>
      <c r="E14" s="19">
        <f>IF(OR($B14="",$C14=""),"",C14/B14)</f>
        <v/>
      </c>
      <c r="F14" s="20">
        <f>IF(OR($B14="",$C14=""),"",1-E14)</f>
        <v/>
      </c>
      <c r="G14" s="21">
        <f>IF(OR($B14="",$C14=""),"",IF(ISNUMBER(G13),G13,1)*F14)</f>
        <v/>
      </c>
      <c r="H14" s="21">
        <f>IF(OR($B14="",$C14=""),"",1-G14)</f>
        <v/>
      </c>
      <c r="I14" s="22">
        <f>IF(OR($B14="",$C14=""),"",IF(B14=C14,0,C14/(B14*(B14-C14))))</f>
        <v/>
      </c>
      <c r="J14" s="22">
        <f>IF(OR($B14="",$C14=""),"",N(J13)+I14)</f>
        <v/>
      </c>
      <c r="K14" s="23">
        <f>IF(OR($B14="",$C14=""),"",G14*SQRT(J14))</f>
        <v/>
      </c>
      <c r="L14" s="21">
        <f>IF(OR($B14="",$C14=""),"",MAX(0,G14-$C$7*K14))</f>
        <v/>
      </c>
      <c r="M14" s="21">
        <f>IF(OR($B14="",$C14=""),"",MIN(1,G14+$C$7*K14))</f>
        <v/>
      </c>
      <c r="N14" s="10">
        <f>IF(OR($B14="",$C14=""),"",IF(OR(G14+$C$7*K14&gt;1,G14-$C$7*K14&lt;0),"Yes","No"))</f>
        <v/>
      </c>
    </row>
    <row r="15">
      <c r="A15" s="6" t="n"/>
      <c r="B15" s="17" t="n"/>
      <c r="C15" s="18" t="n"/>
      <c r="D15" s="17" t="n"/>
      <c r="E15" s="19">
        <f>IF(OR($B15="",$C15=""),"",C15/B15)</f>
        <v/>
      </c>
      <c r="F15" s="20">
        <f>IF(OR($B15="",$C15=""),"",1-E15)</f>
        <v/>
      </c>
      <c r="G15" s="21">
        <f>IF(OR($B15="",$C15=""),"",IF(ISNUMBER(G14),G14,1)*F15)</f>
        <v/>
      </c>
      <c r="H15" s="21">
        <f>IF(OR($B15="",$C15=""),"",1-G15)</f>
        <v/>
      </c>
      <c r="I15" s="22">
        <f>IF(OR($B15="",$C15=""),"",IF(B15=C15,0,C15/(B15*(B15-C15))))</f>
        <v/>
      </c>
      <c r="J15" s="22">
        <f>IF(OR($B15="",$C15=""),"",N(J14)+I15)</f>
        <v/>
      </c>
      <c r="K15" s="23">
        <f>IF(OR($B15="",$C15=""),"",G15*SQRT(J15))</f>
        <v/>
      </c>
      <c r="L15" s="21">
        <f>IF(OR($B15="",$C15=""),"",MAX(0,G15-$C$7*K15))</f>
        <v/>
      </c>
      <c r="M15" s="21">
        <f>IF(OR($B15="",$C15=""),"",MIN(1,G15+$C$7*K15))</f>
        <v/>
      </c>
      <c r="N15" s="10">
        <f>IF(OR($B15="",$C15=""),"",IF(OR(G15+$C$7*K15&gt;1,G15-$C$7*K15&lt;0),"Yes","No"))</f>
        <v/>
      </c>
    </row>
    <row r="16">
      <c r="A16" s="6" t="n"/>
      <c r="B16" s="17" t="n"/>
      <c r="C16" s="18" t="n"/>
      <c r="D16" s="17" t="n"/>
      <c r="E16" s="19">
        <f>IF(OR($B16="",$C16=""),"",C16/B16)</f>
        <v/>
      </c>
      <c r="F16" s="20">
        <f>IF(OR($B16="",$C16=""),"",1-E16)</f>
        <v/>
      </c>
      <c r="G16" s="21">
        <f>IF(OR($B16="",$C16=""),"",IF(ISNUMBER(G15),G15,1)*F16)</f>
        <v/>
      </c>
      <c r="H16" s="21">
        <f>IF(OR($B16="",$C16=""),"",1-G16)</f>
        <v/>
      </c>
      <c r="I16" s="22">
        <f>IF(OR($B16="",$C16=""),"",IF(B16=C16,0,C16/(B16*(B16-C16))))</f>
        <v/>
      </c>
      <c r="J16" s="22">
        <f>IF(OR($B16="",$C16=""),"",N(J15)+I16)</f>
        <v/>
      </c>
      <c r="K16" s="23">
        <f>IF(OR($B16="",$C16=""),"",G16*SQRT(J16))</f>
        <v/>
      </c>
      <c r="L16" s="21">
        <f>IF(OR($B16="",$C16=""),"",MAX(0,G16-$C$7*K16))</f>
        <v/>
      </c>
      <c r="M16" s="21">
        <f>IF(OR($B16="",$C16=""),"",MIN(1,G16+$C$7*K16))</f>
        <v/>
      </c>
      <c r="N16" s="10">
        <f>IF(OR($B16="",$C16=""),"",IF(OR(G16+$C$7*K16&gt;1,G16-$C$7*K16&lt;0),"Yes","No"))</f>
        <v/>
      </c>
    </row>
    <row r="17">
      <c r="A17" s="6" t="n"/>
      <c r="B17" s="17" t="n"/>
      <c r="C17" s="18" t="n"/>
      <c r="D17" s="17" t="n"/>
      <c r="E17" s="19">
        <f>IF(OR($B17="",$C17=""),"",C17/B17)</f>
        <v/>
      </c>
      <c r="F17" s="20">
        <f>IF(OR($B17="",$C17=""),"",1-E17)</f>
        <v/>
      </c>
      <c r="G17" s="21">
        <f>IF(OR($B17="",$C17=""),"",IF(ISNUMBER(G16),G16,1)*F17)</f>
        <v/>
      </c>
      <c r="H17" s="21">
        <f>IF(OR($B17="",$C17=""),"",1-G17)</f>
        <v/>
      </c>
      <c r="I17" s="22">
        <f>IF(OR($B17="",$C17=""),"",IF(B17=C17,0,C17/(B17*(B17-C17))))</f>
        <v/>
      </c>
      <c r="J17" s="22">
        <f>IF(OR($B17="",$C17=""),"",N(J16)+I17)</f>
        <v/>
      </c>
      <c r="K17" s="23">
        <f>IF(OR($B17="",$C17=""),"",G17*SQRT(J17))</f>
        <v/>
      </c>
      <c r="L17" s="21">
        <f>IF(OR($B17="",$C17=""),"",MAX(0,G17-$C$7*K17))</f>
        <v/>
      </c>
      <c r="M17" s="21">
        <f>IF(OR($B17="",$C17=""),"",MIN(1,G17+$C$7*K17))</f>
        <v/>
      </c>
      <c r="N17" s="10">
        <f>IF(OR($B17="",$C17=""),"",IF(OR(G17+$C$7*K17&gt;1,G17-$C$7*K17&lt;0),"Yes","No"))</f>
        <v/>
      </c>
    </row>
    <row r="18">
      <c r="A18" s="6" t="n"/>
      <c r="B18" s="17" t="n"/>
      <c r="C18" s="18" t="n"/>
      <c r="D18" s="17" t="n"/>
      <c r="E18" s="19">
        <f>IF(OR($B18="",$C18=""),"",C18/B18)</f>
        <v/>
      </c>
      <c r="F18" s="20">
        <f>IF(OR($B18="",$C18=""),"",1-E18)</f>
        <v/>
      </c>
      <c r="G18" s="21">
        <f>IF(OR($B18="",$C18=""),"",IF(ISNUMBER(G17),G17,1)*F18)</f>
        <v/>
      </c>
      <c r="H18" s="21">
        <f>IF(OR($B18="",$C18=""),"",1-G18)</f>
        <v/>
      </c>
      <c r="I18" s="22">
        <f>IF(OR($B18="",$C18=""),"",IF(B18=C18,0,C18/(B18*(B18-C18))))</f>
        <v/>
      </c>
      <c r="J18" s="22">
        <f>IF(OR($B18="",$C18=""),"",N(J17)+I18)</f>
        <v/>
      </c>
      <c r="K18" s="23">
        <f>IF(OR($B18="",$C18=""),"",G18*SQRT(J18))</f>
        <v/>
      </c>
      <c r="L18" s="21">
        <f>IF(OR($B18="",$C18=""),"",MAX(0,G18-$C$7*K18))</f>
        <v/>
      </c>
      <c r="M18" s="21">
        <f>IF(OR($B18="",$C18=""),"",MIN(1,G18+$C$7*K18))</f>
        <v/>
      </c>
      <c r="N18" s="10">
        <f>IF(OR($B18="",$C18=""),"",IF(OR(G18+$C$7*K18&gt;1,G18-$C$7*K18&lt;0),"Yes","No"))</f>
        <v/>
      </c>
    </row>
    <row r="19">
      <c r="A19" s="16" t="inlineStr">
        <is>
          <t>Summary</t>
        </is>
      </c>
    </row>
    <row r="20">
      <c r="A20" s="11" t="inlineStr">
        <is>
          <t>Crude proportion = total failures ÷ at risk in first interval</t>
        </is>
      </c>
      <c r="E20" s="25">
        <f>IF(COUNT(C11:C18)=0,"",SUM(C11:C18)/B11)</f>
        <v/>
      </c>
    </row>
    <row r="21">
      <c r="A21" s="11" t="inlineStr">
        <is>
          <t>Total failures</t>
        </is>
      </c>
      <c r="E21" s="26">
        <f>IF(COUNT(C11:C18)=0,"",SUM(C11:C18))</f>
        <v/>
      </c>
    </row>
    <row r="22">
      <c r="A22" s="11" t="inlineStr">
        <is>
          <t>Survival at last completed interval</t>
        </is>
      </c>
      <c r="E22" s="27">
        <f>IF(COUNT(G11:G18)=0,"",INDEX(G11:G18,COUNT(G11:G18)))</f>
        <v/>
      </c>
    </row>
    <row r="23">
      <c r="A23" s="11" t="inlineStr">
        <is>
          <t xml:space="preserve">  lower CI</t>
        </is>
      </c>
      <c r="E23" s="27">
        <f>IF(COUNT(L11:L18)=0,"",INDEX(L11:L18,COUNT(L11:L18)))</f>
        <v/>
      </c>
    </row>
    <row r="24">
      <c r="A24" s="11" t="inlineStr">
        <is>
          <t xml:space="preserve">  upper CI</t>
        </is>
      </c>
      <c r="E24" s="27">
        <f>IF(COUNT(M11:M18)=0,"",INDEX(M11:M18,COUNT(M11:M18)))</f>
        <v/>
      </c>
    </row>
    <row r="25">
      <c r="A25" s="11" t="inlineStr">
        <is>
          <t>Cumulative failure probability at last interval</t>
        </is>
      </c>
      <c r="E25" s="25">
        <f>IF(COUNT(H11:H18)=0,"",INDEX(H11:H18,COUNT(H11:H18)))</f>
        <v/>
      </c>
    </row>
    <row r="26">
      <c r="A26" s="11" t="inlineStr">
        <is>
          <t>Hazard: last interval ÷ first interval</t>
        </is>
      </c>
      <c r="E26" s="28">
        <f>IF(COUNT(E11:E18)&lt;2,"",IF(E11=0,"",INDEX(E11:E18,COUNT(E11:E18))/E11))</f>
        <v/>
      </c>
    </row>
    <row r="29">
      <c r="A29" s="16" t="inlineStr">
        <is>
          <t>STRATUM 2 — name: ________</t>
        </is>
      </c>
    </row>
    <row r="30" ht="45" customHeight="1">
      <c r="A30" s="7" t="inlineStr">
        <is>
          <t>Interval (e.g., year since implant)</t>
        </is>
      </c>
      <c r="B30" s="7" t="inlineStr">
        <is>
          <t>At risk at start (n)</t>
        </is>
      </c>
      <c r="C30" s="7" t="inlineStr">
        <is>
          <t>Failures (d)</t>
        </is>
      </c>
      <c r="D30" s="7" t="inlineStr">
        <is>
          <t>Censored (c) — record only</t>
        </is>
      </c>
      <c r="E30" s="7" t="inlineStr">
        <is>
          <t>Interval hazard d ÷ n</t>
        </is>
      </c>
      <c r="F30" s="7" t="inlineStr">
        <is>
          <t>Conditional survival 1 − d/n</t>
        </is>
      </c>
      <c r="G30" s="7" t="inlineStr">
        <is>
          <t>Kaplan–Meier survival S</t>
        </is>
      </c>
      <c r="H30" s="7" t="inlineStr">
        <is>
          <t>Cumulative failure 1 − S</t>
        </is>
      </c>
      <c r="I30" s="7" t="inlineStr">
        <is>
          <t>Greenwood term d ÷ [n(n − d)]</t>
        </is>
      </c>
      <c r="J30" s="7" t="inlineStr">
        <is>
          <t>Greenwood sum</t>
        </is>
      </c>
      <c r="K30" s="7" t="inlineStr">
        <is>
          <t>SE of S</t>
        </is>
      </c>
      <c r="L30" s="7" t="inlineStr">
        <is>
          <t>Lower CI (linear)</t>
        </is>
      </c>
      <c r="M30" s="7" t="inlineStr">
        <is>
          <t>Upper CI (linear)</t>
        </is>
      </c>
      <c r="N30" s="7" t="inlineStr">
        <is>
          <t>Truncated at 0 or 100%?</t>
        </is>
      </c>
    </row>
    <row r="31">
      <c r="A31" s="6" t="n"/>
      <c r="B31" s="17" t="n"/>
      <c r="C31" s="18" t="n"/>
      <c r="D31" s="17" t="n"/>
      <c r="E31" s="19">
        <f>IF(OR($B31="",$C31=""),"",C31/B31)</f>
        <v/>
      </c>
      <c r="F31" s="20">
        <f>IF(OR($B31="",$C31=""),"",1-E31)</f>
        <v/>
      </c>
      <c r="G31" s="21">
        <f>IF(OR($B31="",$C31=""),"",1*F31)</f>
        <v/>
      </c>
      <c r="H31" s="21">
        <f>IF(OR($B31="",$C31=""),"",1-G31)</f>
        <v/>
      </c>
      <c r="I31" s="22">
        <f>IF(OR($B31="",$C31=""),"",IF(B31=C31,0,C31/(B31*(B31-C31))))</f>
        <v/>
      </c>
      <c r="J31" s="22">
        <f>IF(OR($B31="",$C31=""),"",0+I31)</f>
        <v/>
      </c>
      <c r="K31" s="23">
        <f>IF(OR($B31="",$C31=""),"",G31*SQRT(J31))</f>
        <v/>
      </c>
      <c r="L31" s="21">
        <f>IF(OR($B31="",$C31=""),"",MAX(0,G31-$C$7*K31))</f>
        <v/>
      </c>
      <c r="M31" s="21">
        <f>IF(OR($B31="",$C31=""),"",MIN(1,G31+$C$7*K31))</f>
        <v/>
      </c>
      <c r="N31" s="10">
        <f>IF(OR($B31="",$C31=""),"",IF(OR(G31+$C$7*K31&gt;1,G31-$C$7*K31&lt;0),"Yes","No"))</f>
        <v/>
      </c>
    </row>
    <row r="32">
      <c r="A32" s="6" t="n"/>
      <c r="B32" s="17" t="n"/>
      <c r="C32" s="18" t="n"/>
      <c r="D32" s="17" t="n"/>
      <c r="E32" s="19">
        <f>IF(OR($B32="",$C32=""),"",C32/B32)</f>
        <v/>
      </c>
      <c r="F32" s="20">
        <f>IF(OR($B32="",$C32=""),"",1-E32)</f>
        <v/>
      </c>
      <c r="G32" s="21">
        <f>IF(OR($B32="",$C32=""),"",IF(ISNUMBER(G31),G31,1)*F32)</f>
        <v/>
      </c>
      <c r="H32" s="21">
        <f>IF(OR($B32="",$C32=""),"",1-G32)</f>
        <v/>
      </c>
      <c r="I32" s="22">
        <f>IF(OR($B32="",$C32=""),"",IF(B32=C32,0,C32/(B32*(B32-C32))))</f>
        <v/>
      </c>
      <c r="J32" s="22">
        <f>IF(OR($B32="",$C32=""),"",N(J31)+I32)</f>
        <v/>
      </c>
      <c r="K32" s="23">
        <f>IF(OR($B32="",$C32=""),"",G32*SQRT(J32))</f>
        <v/>
      </c>
      <c r="L32" s="21">
        <f>IF(OR($B32="",$C32=""),"",MAX(0,G32-$C$7*K32))</f>
        <v/>
      </c>
      <c r="M32" s="21">
        <f>IF(OR($B32="",$C32=""),"",MIN(1,G32+$C$7*K32))</f>
        <v/>
      </c>
      <c r="N32" s="10">
        <f>IF(OR($B32="",$C32=""),"",IF(OR(G32+$C$7*K32&gt;1,G32-$C$7*K32&lt;0),"Yes","No"))</f>
        <v/>
      </c>
    </row>
    <row r="33">
      <c r="A33" s="6" t="n"/>
      <c r="B33" s="17" t="n"/>
      <c r="C33" s="18" t="n"/>
      <c r="D33" s="17" t="n"/>
      <c r="E33" s="19">
        <f>IF(OR($B33="",$C33=""),"",C33/B33)</f>
        <v/>
      </c>
      <c r="F33" s="20">
        <f>IF(OR($B33="",$C33=""),"",1-E33)</f>
        <v/>
      </c>
      <c r="G33" s="21">
        <f>IF(OR($B33="",$C33=""),"",IF(ISNUMBER(G32),G32,1)*F33)</f>
        <v/>
      </c>
      <c r="H33" s="21">
        <f>IF(OR($B33="",$C33=""),"",1-G33)</f>
        <v/>
      </c>
      <c r="I33" s="22">
        <f>IF(OR($B33="",$C33=""),"",IF(B33=C33,0,C33/(B33*(B33-C33))))</f>
        <v/>
      </c>
      <c r="J33" s="22">
        <f>IF(OR($B33="",$C33=""),"",N(J32)+I33)</f>
        <v/>
      </c>
      <c r="K33" s="23">
        <f>IF(OR($B33="",$C33=""),"",G33*SQRT(J33))</f>
        <v/>
      </c>
      <c r="L33" s="21">
        <f>IF(OR($B33="",$C33=""),"",MAX(0,G33-$C$7*K33))</f>
        <v/>
      </c>
      <c r="M33" s="21">
        <f>IF(OR($B33="",$C33=""),"",MIN(1,G33+$C$7*K33))</f>
        <v/>
      </c>
      <c r="N33" s="10">
        <f>IF(OR($B33="",$C33=""),"",IF(OR(G33+$C$7*K33&gt;1,G33-$C$7*K33&lt;0),"Yes","No"))</f>
        <v/>
      </c>
    </row>
    <row r="34">
      <c r="A34" s="6" t="n"/>
      <c r="B34" s="17" t="n"/>
      <c r="C34" s="18" t="n"/>
      <c r="D34" s="17" t="n"/>
      <c r="E34" s="19">
        <f>IF(OR($B34="",$C34=""),"",C34/B34)</f>
        <v/>
      </c>
      <c r="F34" s="20">
        <f>IF(OR($B34="",$C34=""),"",1-E34)</f>
        <v/>
      </c>
      <c r="G34" s="21">
        <f>IF(OR($B34="",$C34=""),"",IF(ISNUMBER(G33),G33,1)*F34)</f>
        <v/>
      </c>
      <c r="H34" s="21">
        <f>IF(OR($B34="",$C34=""),"",1-G34)</f>
        <v/>
      </c>
      <c r="I34" s="22">
        <f>IF(OR($B34="",$C34=""),"",IF(B34=C34,0,C34/(B34*(B34-C34))))</f>
        <v/>
      </c>
      <c r="J34" s="22">
        <f>IF(OR($B34="",$C34=""),"",N(J33)+I34)</f>
        <v/>
      </c>
      <c r="K34" s="23">
        <f>IF(OR($B34="",$C34=""),"",G34*SQRT(J34))</f>
        <v/>
      </c>
      <c r="L34" s="21">
        <f>IF(OR($B34="",$C34=""),"",MAX(0,G34-$C$7*K34))</f>
        <v/>
      </c>
      <c r="M34" s="21">
        <f>IF(OR($B34="",$C34=""),"",MIN(1,G34+$C$7*K34))</f>
        <v/>
      </c>
      <c r="N34" s="10">
        <f>IF(OR($B34="",$C34=""),"",IF(OR(G34+$C$7*K34&gt;1,G34-$C$7*K34&lt;0),"Yes","No"))</f>
        <v/>
      </c>
    </row>
    <row r="35">
      <c r="A35" s="6" t="n"/>
      <c r="B35" s="17" t="n"/>
      <c r="C35" s="18" t="n"/>
      <c r="D35" s="17" t="n"/>
      <c r="E35" s="19">
        <f>IF(OR($B35="",$C35=""),"",C35/B35)</f>
        <v/>
      </c>
      <c r="F35" s="20">
        <f>IF(OR($B35="",$C35=""),"",1-E35)</f>
        <v/>
      </c>
      <c r="G35" s="21">
        <f>IF(OR($B35="",$C35=""),"",IF(ISNUMBER(G34),G34,1)*F35)</f>
        <v/>
      </c>
      <c r="H35" s="21">
        <f>IF(OR($B35="",$C35=""),"",1-G35)</f>
        <v/>
      </c>
      <c r="I35" s="22">
        <f>IF(OR($B35="",$C35=""),"",IF(B35=C35,0,C35/(B35*(B35-C35))))</f>
        <v/>
      </c>
      <c r="J35" s="22">
        <f>IF(OR($B35="",$C35=""),"",N(J34)+I35)</f>
        <v/>
      </c>
      <c r="K35" s="23">
        <f>IF(OR($B35="",$C35=""),"",G35*SQRT(J35))</f>
        <v/>
      </c>
      <c r="L35" s="21">
        <f>IF(OR($B35="",$C35=""),"",MAX(0,G35-$C$7*K35))</f>
        <v/>
      </c>
      <c r="M35" s="21">
        <f>IF(OR($B35="",$C35=""),"",MIN(1,G35+$C$7*K35))</f>
        <v/>
      </c>
      <c r="N35" s="10">
        <f>IF(OR($B35="",$C35=""),"",IF(OR(G35+$C$7*K35&gt;1,G35-$C$7*K35&lt;0),"Yes","No"))</f>
        <v/>
      </c>
    </row>
    <row r="36">
      <c r="A36" s="6" t="n"/>
      <c r="B36" s="17" t="n"/>
      <c r="C36" s="18" t="n"/>
      <c r="D36" s="17" t="n"/>
      <c r="E36" s="19">
        <f>IF(OR($B36="",$C36=""),"",C36/B36)</f>
        <v/>
      </c>
      <c r="F36" s="20">
        <f>IF(OR($B36="",$C36=""),"",1-E36)</f>
        <v/>
      </c>
      <c r="G36" s="21">
        <f>IF(OR($B36="",$C36=""),"",IF(ISNUMBER(G35),G35,1)*F36)</f>
        <v/>
      </c>
      <c r="H36" s="21">
        <f>IF(OR($B36="",$C36=""),"",1-G36)</f>
        <v/>
      </c>
      <c r="I36" s="22">
        <f>IF(OR($B36="",$C36=""),"",IF(B36=C36,0,C36/(B36*(B36-C36))))</f>
        <v/>
      </c>
      <c r="J36" s="22">
        <f>IF(OR($B36="",$C36=""),"",N(J35)+I36)</f>
        <v/>
      </c>
      <c r="K36" s="23">
        <f>IF(OR($B36="",$C36=""),"",G36*SQRT(J36))</f>
        <v/>
      </c>
      <c r="L36" s="21">
        <f>IF(OR($B36="",$C36=""),"",MAX(0,G36-$C$7*K36))</f>
        <v/>
      </c>
      <c r="M36" s="21">
        <f>IF(OR($B36="",$C36=""),"",MIN(1,G36+$C$7*K36))</f>
        <v/>
      </c>
      <c r="N36" s="10">
        <f>IF(OR($B36="",$C36=""),"",IF(OR(G36+$C$7*K36&gt;1,G36-$C$7*K36&lt;0),"Yes","No"))</f>
        <v/>
      </c>
    </row>
    <row r="37">
      <c r="A37" s="6" t="n"/>
      <c r="B37" s="17" t="n"/>
      <c r="C37" s="18" t="n"/>
      <c r="D37" s="17" t="n"/>
      <c r="E37" s="19">
        <f>IF(OR($B37="",$C37=""),"",C37/B37)</f>
        <v/>
      </c>
      <c r="F37" s="20">
        <f>IF(OR($B37="",$C37=""),"",1-E37)</f>
        <v/>
      </c>
      <c r="G37" s="21">
        <f>IF(OR($B37="",$C37=""),"",IF(ISNUMBER(G36),G36,1)*F37)</f>
        <v/>
      </c>
      <c r="H37" s="21">
        <f>IF(OR($B37="",$C37=""),"",1-G37)</f>
        <v/>
      </c>
      <c r="I37" s="22">
        <f>IF(OR($B37="",$C37=""),"",IF(B37=C37,0,C37/(B37*(B37-C37))))</f>
        <v/>
      </c>
      <c r="J37" s="22">
        <f>IF(OR($B37="",$C37=""),"",N(J36)+I37)</f>
        <v/>
      </c>
      <c r="K37" s="23">
        <f>IF(OR($B37="",$C37=""),"",G37*SQRT(J37))</f>
        <v/>
      </c>
      <c r="L37" s="21">
        <f>IF(OR($B37="",$C37=""),"",MAX(0,G37-$C$7*K37))</f>
        <v/>
      </c>
      <c r="M37" s="21">
        <f>IF(OR($B37="",$C37=""),"",MIN(1,G37+$C$7*K37))</f>
        <v/>
      </c>
      <c r="N37" s="10">
        <f>IF(OR($B37="",$C37=""),"",IF(OR(G37+$C$7*K37&gt;1,G37-$C$7*K37&lt;0),"Yes","No"))</f>
        <v/>
      </c>
    </row>
    <row r="38">
      <c r="A38" s="6" t="n"/>
      <c r="B38" s="17" t="n"/>
      <c r="C38" s="18" t="n"/>
      <c r="D38" s="17" t="n"/>
      <c r="E38" s="19">
        <f>IF(OR($B38="",$C38=""),"",C38/B38)</f>
        <v/>
      </c>
      <c r="F38" s="20">
        <f>IF(OR($B38="",$C38=""),"",1-E38)</f>
        <v/>
      </c>
      <c r="G38" s="21">
        <f>IF(OR($B38="",$C38=""),"",IF(ISNUMBER(G37),G37,1)*F38)</f>
        <v/>
      </c>
      <c r="H38" s="21">
        <f>IF(OR($B38="",$C38=""),"",1-G38)</f>
        <v/>
      </c>
      <c r="I38" s="22">
        <f>IF(OR($B38="",$C38=""),"",IF(B38=C38,0,C38/(B38*(B38-C38))))</f>
        <v/>
      </c>
      <c r="J38" s="22">
        <f>IF(OR($B38="",$C38=""),"",N(J37)+I38)</f>
        <v/>
      </c>
      <c r="K38" s="23">
        <f>IF(OR($B38="",$C38=""),"",G38*SQRT(J38))</f>
        <v/>
      </c>
      <c r="L38" s="21">
        <f>IF(OR($B38="",$C38=""),"",MAX(0,G38-$C$7*K38))</f>
        <v/>
      </c>
      <c r="M38" s="21">
        <f>IF(OR($B38="",$C38=""),"",MIN(1,G38+$C$7*K38))</f>
        <v/>
      </c>
      <c r="N38" s="10">
        <f>IF(OR($B38="",$C38=""),"",IF(OR(G38+$C$7*K38&gt;1,G38-$C$7*K38&lt;0),"Yes","No"))</f>
        <v/>
      </c>
    </row>
    <row r="39">
      <c r="A39" s="16" t="inlineStr">
        <is>
          <t>Summary</t>
        </is>
      </c>
    </row>
    <row r="40">
      <c r="A40" s="11" t="inlineStr">
        <is>
          <t>Crude proportion = total failures ÷ at risk in first interval</t>
        </is>
      </c>
      <c r="E40" s="25">
        <f>IF(COUNT(C31:C38)=0,"",SUM(C31:C38)/B31)</f>
        <v/>
      </c>
    </row>
    <row r="41">
      <c r="A41" s="11" t="inlineStr">
        <is>
          <t>Total failures</t>
        </is>
      </c>
      <c r="E41" s="26">
        <f>IF(COUNT(C31:C38)=0,"",SUM(C31:C38))</f>
        <v/>
      </c>
    </row>
    <row r="42">
      <c r="A42" s="11" t="inlineStr">
        <is>
          <t>Survival at last completed interval</t>
        </is>
      </c>
      <c r="E42" s="27">
        <f>IF(COUNT(G31:G38)=0,"",INDEX(G31:G38,COUNT(G31:G38)))</f>
        <v/>
      </c>
    </row>
    <row r="43">
      <c r="A43" s="11" t="inlineStr">
        <is>
          <t xml:space="preserve">  lower CI</t>
        </is>
      </c>
      <c r="E43" s="27">
        <f>IF(COUNT(L31:L38)=0,"",INDEX(L31:L38,COUNT(L31:L38)))</f>
        <v/>
      </c>
    </row>
    <row r="44">
      <c r="A44" s="11" t="inlineStr">
        <is>
          <t xml:space="preserve">  upper CI</t>
        </is>
      </c>
      <c r="E44" s="27">
        <f>IF(COUNT(M31:M38)=0,"",INDEX(M31:M38,COUNT(M31:M38)))</f>
        <v/>
      </c>
    </row>
    <row r="45">
      <c r="A45" s="11" t="inlineStr">
        <is>
          <t>Cumulative failure probability at last interval</t>
        </is>
      </c>
      <c r="E45" s="25">
        <f>IF(COUNT(H31:H38)=0,"",INDEX(H31:H38,COUNT(H31:H38)))</f>
        <v/>
      </c>
    </row>
    <row r="46">
      <c r="A46" s="11" t="inlineStr">
        <is>
          <t>Hazard: last interval ÷ first interval</t>
        </is>
      </c>
      <c r="E46" s="28">
        <f>IF(COUNT(E31:E38)&lt;2,"",IF(E31=0,"",INDEX(E31:E38,COUNT(E31:E38))/E31))</f>
        <v/>
      </c>
    </row>
    <row r="49">
      <c r="A49" s="16" t="inlineStr">
        <is>
          <t>STRATUM 3 — name: ________</t>
        </is>
      </c>
    </row>
    <row r="50" ht="45" customHeight="1">
      <c r="A50" s="7" t="inlineStr">
        <is>
          <t>Interval (e.g., year since implant)</t>
        </is>
      </c>
      <c r="B50" s="7" t="inlineStr">
        <is>
          <t>At risk at start (n)</t>
        </is>
      </c>
      <c r="C50" s="7" t="inlineStr">
        <is>
          <t>Failures (d)</t>
        </is>
      </c>
      <c r="D50" s="7" t="inlineStr">
        <is>
          <t>Censored (c) — record only</t>
        </is>
      </c>
      <c r="E50" s="7" t="inlineStr">
        <is>
          <t>Interval hazard d ÷ n</t>
        </is>
      </c>
      <c r="F50" s="7" t="inlineStr">
        <is>
          <t>Conditional survival 1 − d/n</t>
        </is>
      </c>
      <c r="G50" s="7" t="inlineStr">
        <is>
          <t>Kaplan–Meier survival S</t>
        </is>
      </c>
      <c r="H50" s="7" t="inlineStr">
        <is>
          <t>Cumulative failure 1 − S</t>
        </is>
      </c>
      <c r="I50" s="7" t="inlineStr">
        <is>
          <t>Greenwood term d ÷ [n(n − d)]</t>
        </is>
      </c>
      <c r="J50" s="7" t="inlineStr">
        <is>
          <t>Greenwood sum</t>
        </is>
      </c>
      <c r="K50" s="7" t="inlineStr">
        <is>
          <t>SE of S</t>
        </is>
      </c>
      <c r="L50" s="7" t="inlineStr">
        <is>
          <t>Lower CI (linear)</t>
        </is>
      </c>
      <c r="M50" s="7" t="inlineStr">
        <is>
          <t>Upper CI (linear)</t>
        </is>
      </c>
      <c r="N50" s="7" t="inlineStr">
        <is>
          <t>Truncated at 0 or 100%?</t>
        </is>
      </c>
    </row>
    <row r="51">
      <c r="A51" s="6" t="n"/>
      <c r="B51" s="17" t="n"/>
      <c r="C51" s="18" t="n"/>
      <c r="D51" s="17" t="n"/>
      <c r="E51" s="19">
        <f>IF(OR($B51="",$C51=""),"",C51/B51)</f>
        <v/>
      </c>
      <c r="F51" s="20">
        <f>IF(OR($B51="",$C51=""),"",1-E51)</f>
        <v/>
      </c>
      <c r="G51" s="21">
        <f>IF(OR($B51="",$C51=""),"",1*F51)</f>
        <v/>
      </c>
      <c r="H51" s="21">
        <f>IF(OR($B51="",$C51=""),"",1-G51)</f>
        <v/>
      </c>
      <c r="I51" s="22">
        <f>IF(OR($B51="",$C51=""),"",IF(B51=C51,0,C51/(B51*(B51-C51))))</f>
        <v/>
      </c>
      <c r="J51" s="22">
        <f>IF(OR($B51="",$C51=""),"",0+I51)</f>
        <v/>
      </c>
      <c r="K51" s="23">
        <f>IF(OR($B51="",$C51=""),"",G51*SQRT(J51))</f>
        <v/>
      </c>
      <c r="L51" s="21">
        <f>IF(OR($B51="",$C51=""),"",MAX(0,G51-$C$7*K51))</f>
        <v/>
      </c>
      <c r="M51" s="21">
        <f>IF(OR($B51="",$C51=""),"",MIN(1,G51+$C$7*K51))</f>
        <v/>
      </c>
      <c r="N51" s="10">
        <f>IF(OR($B51="",$C51=""),"",IF(OR(G51+$C$7*K51&gt;1,G51-$C$7*K51&lt;0),"Yes","No"))</f>
        <v/>
      </c>
    </row>
    <row r="52">
      <c r="A52" s="6" t="n"/>
      <c r="B52" s="17" t="n"/>
      <c r="C52" s="18" t="n"/>
      <c r="D52" s="17" t="n"/>
      <c r="E52" s="19">
        <f>IF(OR($B52="",$C52=""),"",C52/B52)</f>
        <v/>
      </c>
      <c r="F52" s="20">
        <f>IF(OR($B52="",$C52=""),"",1-E52)</f>
        <v/>
      </c>
      <c r="G52" s="21">
        <f>IF(OR($B52="",$C52=""),"",IF(ISNUMBER(G51),G51,1)*F52)</f>
        <v/>
      </c>
      <c r="H52" s="21">
        <f>IF(OR($B52="",$C52=""),"",1-G52)</f>
        <v/>
      </c>
      <c r="I52" s="22">
        <f>IF(OR($B52="",$C52=""),"",IF(B52=C52,0,C52/(B52*(B52-C52))))</f>
        <v/>
      </c>
      <c r="J52" s="22">
        <f>IF(OR($B52="",$C52=""),"",N(J51)+I52)</f>
        <v/>
      </c>
      <c r="K52" s="23">
        <f>IF(OR($B52="",$C52=""),"",G52*SQRT(J52))</f>
        <v/>
      </c>
      <c r="L52" s="21">
        <f>IF(OR($B52="",$C52=""),"",MAX(0,G52-$C$7*K52))</f>
        <v/>
      </c>
      <c r="M52" s="21">
        <f>IF(OR($B52="",$C52=""),"",MIN(1,G52+$C$7*K52))</f>
        <v/>
      </c>
      <c r="N52" s="10">
        <f>IF(OR($B52="",$C52=""),"",IF(OR(G52+$C$7*K52&gt;1,G52-$C$7*K52&lt;0),"Yes","No"))</f>
        <v/>
      </c>
    </row>
    <row r="53">
      <c r="A53" s="6" t="n"/>
      <c r="B53" s="17" t="n"/>
      <c r="C53" s="18" t="n"/>
      <c r="D53" s="17" t="n"/>
      <c r="E53" s="19">
        <f>IF(OR($B53="",$C53=""),"",C53/B53)</f>
        <v/>
      </c>
      <c r="F53" s="20">
        <f>IF(OR($B53="",$C53=""),"",1-E53)</f>
        <v/>
      </c>
      <c r="G53" s="21">
        <f>IF(OR($B53="",$C53=""),"",IF(ISNUMBER(G52),G52,1)*F53)</f>
        <v/>
      </c>
      <c r="H53" s="21">
        <f>IF(OR($B53="",$C53=""),"",1-G53)</f>
        <v/>
      </c>
      <c r="I53" s="22">
        <f>IF(OR($B53="",$C53=""),"",IF(B53=C53,0,C53/(B53*(B53-C53))))</f>
        <v/>
      </c>
      <c r="J53" s="22">
        <f>IF(OR($B53="",$C53=""),"",N(J52)+I53)</f>
        <v/>
      </c>
      <c r="K53" s="23">
        <f>IF(OR($B53="",$C53=""),"",G53*SQRT(J53))</f>
        <v/>
      </c>
      <c r="L53" s="21">
        <f>IF(OR($B53="",$C53=""),"",MAX(0,G53-$C$7*K53))</f>
        <v/>
      </c>
      <c r="M53" s="21">
        <f>IF(OR($B53="",$C53=""),"",MIN(1,G53+$C$7*K53))</f>
        <v/>
      </c>
      <c r="N53" s="10">
        <f>IF(OR($B53="",$C53=""),"",IF(OR(G53+$C$7*K53&gt;1,G53-$C$7*K53&lt;0),"Yes","No"))</f>
        <v/>
      </c>
    </row>
    <row r="54">
      <c r="A54" s="6" t="n"/>
      <c r="B54" s="17" t="n"/>
      <c r="C54" s="18" t="n"/>
      <c r="D54" s="17" t="n"/>
      <c r="E54" s="19">
        <f>IF(OR($B54="",$C54=""),"",C54/B54)</f>
        <v/>
      </c>
      <c r="F54" s="20">
        <f>IF(OR($B54="",$C54=""),"",1-E54)</f>
        <v/>
      </c>
      <c r="G54" s="21">
        <f>IF(OR($B54="",$C54=""),"",IF(ISNUMBER(G53),G53,1)*F54)</f>
        <v/>
      </c>
      <c r="H54" s="21">
        <f>IF(OR($B54="",$C54=""),"",1-G54)</f>
        <v/>
      </c>
      <c r="I54" s="22">
        <f>IF(OR($B54="",$C54=""),"",IF(B54=C54,0,C54/(B54*(B54-C54))))</f>
        <v/>
      </c>
      <c r="J54" s="22">
        <f>IF(OR($B54="",$C54=""),"",N(J53)+I54)</f>
        <v/>
      </c>
      <c r="K54" s="23">
        <f>IF(OR($B54="",$C54=""),"",G54*SQRT(J54))</f>
        <v/>
      </c>
      <c r="L54" s="21">
        <f>IF(OR($B54="",$C54=""),"",MAX(0,G54-$C$7*K54))</f>
        <v/>
      </c>
      <c r="M54" s="21">
        <f>IF(OR($B54="",$C54=""),"",MIN(1,G54+$C$7*K54))</f>
        <v/>
      </c>
      <c r="N54" s="10">
        <f>IF(OR($B54="",$C54=""),"",IF(OR(G54+$C$7*K54&gt;1,G54-$C$7*K54&lt;0),"Yes","No"))</f>
        <v/>
      </c>
    </row>
    <row r="55">
      <c r="A55" s="6" t="n"/>
      <c r="B55" s="17" t="n"/>
      <c r="C55" s="18" t="n"/>
      <c r="D55" s="17" t="n"/>
      <c r="E55" s="19">
        <f>IF(OR($B55="",$C55=""),"",C55/B55)</f>
        <v/>
      </c>
      <c r="F55" s="20">
        <f>IF(OR($B55="",$C55=""),"",1-E55)</f>
        <v/>
      </c>
      <c r="G55" s="21">
        <f>IF(OR($B55="",$C55=""),"",IF(ISNUMBER(G54),G54,1)*F55)</f>
        <v/>
      </c>
      <c r="H55" s="21">
        <f>IF(OR($B55="",$C55=""),"",1-G55)</f>
        <v/>
      </c>
      <c r="I55" s="22">
        <f>IF(OR($B55="",$C55=""),"",IF(B55=C55,0,C55/(B55*(B55-C55))))</f>
        <v/>
      </c>
      <c r="J55" s="22">
        <f>IF(OR($B55="",$C55=""),"",N(J54)+I55)</f>
        <v/>
      </c>
      <c r="K55" s="23">
        <f>IF(OR($B55="",$C55=""),"",G55*SQRT(J55))</f>
        <v/>
      </c>
      <c r="L55" s="21">
        <f>IF(OR($B55="",$C55=""),"",MAX(0,G55-$C$7*K55))</f>
        <v/>
      </c>
      <c r="M55" s="21">
        <f>IF(OR($B55="",$C55=""),"",MIN(1,G55+$C$7*K55))</f>
        <v/>
      </c>
      <c r="N55" s="10">
        <f>IF(OR($B55="",$C55=""),"",IF(OR(G55+$C$7*K55&gt;1,G55-$C$7*K55&lt;0),"Yes","No"))</f>
        <v/>
      </c>
    </row>
    <row r="56">
      <c r="A56" s="6" t="n"/>
      <c r="B56" s="17" t="n"/>
      <c r="C56" s="18" t="n"/>
      <c r="D56" s="17" t="n"/>
      <c r="E56" s="19">
        <f>IF(OR($B56="",$C56=""),"",C56/B56)</f>
        <v/>
      </c>
      <c r="F56" s="20">
        <f>IF(OR($B56="",$C56=""),"",1-E56)</f>
        <v/>
      </c>
      <c r="G56" s="21">
        <f>IF(OR($B56="",$C56=""),"",IF(ISNUMBER(G55),G55,1)*F56)</f>
        <v/>
      </c>
      <c r="H56" s="21">
        <f>IF(OR($B56="",$C56=""),"",1-G56)</f>
        <v/>
      </c>
      <c r="I56" s="22">
        <f>IF(OR($B56="",$C56=""),"",IF(B56=C56,0,C56/(B56*(B56-C56))))</f>
        <v/>
      </c>
      <c r="J56" s="22">
        <f>IF(OR($B56="",$C56=""),"",N(J55)+I56)</f>
        <v/>
      </c>
      <c r="K56" s="23">
        <f>IF(OR($B56="",$C56=""),"",G56*SQRT(J56))</f>
        <v/>
      </c>
      <c r="L56" s="21">
        <f>IF(OR($B56="",$C56=""),"",MAX(0,G56-$C$7*K56))</f>
        <v/>
      </c>
      <c r="M56" s="21">
        <f>IF(OR($B56="",$C56=""),"",MIN(1,G56+$C$7*K56))</f>
        <v/>
      </c>
      <c r="N56" s="10">
        <f>IF(OR($B56="",$C56=""),"",IF(OR(G56+$C$7*K56&gt;1,G56-$C$7*K56&lt;0),"Yes","No"))</f>
        <v/>
      </c>
    </row>
    <row r="57">
      <c r="A57" s="6" t="n"/>
      <c r="B57" s="17" t="n"/>
      <c r="C57" s="18" t="n"/>
      <c r="D57" s="17" t="n"/>
      <c r="E57" s="19">
        <f>IF(OR($B57="",$C57=""),"",C57/B57)</f>
        <v/>
      </c>
      <c r="F57" s="20">
        <f>IF(OR($B57="",$C57=""),"",1-E57)</f>
        <v/>
      </c>
      <c r="G57" s="21">
        <f>IF(OR($B57="",$C57=""),"",IF(ISNUMBER(G56),G56,1)*F57)</f>
        <v/>
      </c>
      <c r="H57" s="21">
        <f>IF(OR($B57="",$C57=""),"",1-G57)</f>
        <v/>
      </c>
      <c r="I57" s="22">
        <f>IF(OR($B57="",$C57=""),"",IF(B57=C57,0,C57/(B57*(B57-C57))))</f>
        <v/>
      </c>
      <c r="J57" s="22">
        <f>IF(OR($B57="",$C57=""),"",N(J56)+I57)</f>
        <v/>
      </c>
      <c r="K57" s="23">
        <f>IF(OR($B57="",$C57=""),"",G57*SQRT(J57))</f>
        <v/>
      </c>
      <c r="L57" s="21">
        <f>IF(OR($B57="",$C57=""),"",MAX(0,G57-$C$7*K57))</f>
        <v/>
      </c>
      <c r="M57" s="21">
        <f>IF(OR($B57="",$C57=""),"",MIN(1,G57+$C$7*K57))</f>
        <v/>
      </c>
      <c r="N57" s="10">
        <f>IF(OR($B57="",$C57=""),"",IF(OR(G57+$C$7*K57&gt;1,G57-$C$7*K57&lt;0),"Yes","No"))</f>
        <v/>
      </c>
    </row>
    <row r="58">
      <c r="A58" s="6" t="n"/>
      <c r="B58" s="17" t="n"/>
      <c r="C58" s="18" t="n"/>
      <c r="D58" s="17" t="n"/>
      <c r="E58" s="19">
        <f>IF(OR($B58="",$C58=""),"",C58/B58)</f>
        <v/>
      </c>
      <c r="F58" s="20">
        <f>IF(OR($B58="",$C58=""),"",1-E58)</f>
        <v/>
      </c>
      <c r="G58" s="21">
        <f>IF(OR($B58="",$C58=""),"",IF(ISNUMBER(G57),G57,1)*F58)</f>
        <v/>
      </c>
      <c r="H58" s="21">
        <f>IF(OR($B58="",$C58=""),"",1-G58)</f>
        <v/>
      </c>
      <c r="I58" s="22">
        <f>IF(OR($B58="",$C58=""),"",IF(B58=C58,0,C58/(B58*(B58-C58))))</f>
        <v/>
      </c>
      <c r="J58" s="22">
        <f>IF(OR($B58="",$C58=""),"",N(J57)+I58)</f>
        <v/>
      </c>
      <c r="K58" s="23">
        <f>IF(OR($B58="",$C58=""),"",G58*SQRT(J58))</f>
        <v/>
      </c>
      <c r="L58" s="21">
        <f>IF(OR($B58="",$C58=""),"",MAX(0,G58-$C$7*K58))</f>
        <v/>
      </c>
      <c r="M58" s="21">
        <f>IF(OR($B58="",$C58=""),"",MIN(1,G58+$C$7*K58))</f>
        <v/>
      </c>
      <c r="N58" s="10">
        <f>IF(OR($B58="",$C58=""),"",IF(OR(G58+$C$7*K58&gt;1,G58-$C$7*K58&lt;0),"Yes","No"))</f>
        <v/>
      </c>
    </row>
    <row r="59">
      <c r="A59" s="16" t="inlineStr">
        <is>
          <t>Summary</t>
        </is>
      </c>
    </row>
    <row r="60">
      <c r="A60" s="11" t="inlineStr">
        <is>
          <t>Crude proportion = total failures ÷ at risk in first interval</t>
        </is>
      </c>
      <c r="E60" s="25">
        <f>IF(COUNT(C51:C58)=0,"",SUM(C51:C58)/B51)</f>
        <v/>
      </c>
    </row>
    <row r="61">
      <c r="A61" s="11" t="inlineStr">
        <is>
          <t>Total failures</t>
        </is>
      </c>
      <c r="E61" s="26">
        <f>IF(COUNT(C51:C58)=0,"",SUM(C51:C58))</f>
        <v/>
      </c>
    </row>
    <row r="62">
      <c r="A62" s="11" t="inlineStr">
        <is>
          <t>Survival at last completed interval</t>
        </is>
      </c>
      <c r="E62" s="27">
        <f>IF(COUNT(G51:G58)=0,"",INDEX(G51:G58,COUNT(G51:G58)))</f>
        <v/>
      </c>
    </row>
    <row r="63">
      <c r="A63" s="11" t="inlineStr">
        <is>
          <t xml:space="preserve">  lower CI</t>
        </is>
      </c>
      <c r="E63" s="27">
        <f>IF(COUNT(L51:L58)=0,"",INDEX(L51:L58,COUNT(L51:L58)))</f>
        <v/>
      </c>
    </row>
    <row r="64">
      <c r="A64" s="11" t="inlineStr">
        <is>
          <t xml:space="preserve">  upper CI</t>
        </is>
      </c>
      <c r="E64" s="27">
        <f>IF(COUNT(M51:M58)=0,"",INDEX(M51:M58,COUNT(M51:M58)))</f>
        <v/>
      </c>
    </row>
    <row r="65">
      <c r="A65" s="11" t="inlineStr">
        <is>
          <t>Cumulative failure probability at last interval</t>
        </is>
      </c>
      <c r="E65" s="25">
        <f>IF(COUNT(H51:H58)=0,"",INDEX(H51:H58,COUNT(H51:H58)))</f>
        <v/>
      </c>
    </row>
    <row r="66">
      <c r="A66" s="11" t="inlineStr">
        <is>
          <t>Hazard: last interval ÷ first interval</t>
        </is>
      </c>
      <c r="E66" s="28">
        <f>IF(COUNT(E51:E58)&lt;2,"",IF(E51=0,"",INDEX(E51:E58,COUNT(E51:E58))/E51))</f>
        <v/>
      </c>
    </row>
  </sheetData>
  <mergeCells count="21">
    <mergeCell ref="A23:D23"/>
    <mergeCell ref="A22:D22"/>
    <mergeCell ref="A62:D62"/>
    <mergeCell ref="A20:D20"/>
    <mergeCell ref="A43:D43"/>
    <mergeCell ref="A63:D63"/>
    <mergeCell ref="A44:D44"/>
    <mergeCell ref="A40:D40"/>
    <mergeCell ref="A64:D64"/>
    <mergeCell ref="A24:D24"/>
    <mergeCell ref="A60:D60"/>
    <mergeCell ref="A45:D45"/>
    <mergeCell ref="A61:D61"/>
    <mergeCell ref="A25:D25"/>
    <mergeCell ref="A65:D65"/>
    <mergeCell ref="A41:D41"/>
    <mergeCell ref="A46:D46"/>
    <mergeCell ref="A66:D66"/>
    <mergeCell ref="A26:D26"/>
    <mergeCell ref="A21:D21"/>
    <mergeCell ref="A42:D42"/>
  </mergeCells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2026-09-16T22:01:11Z</dcterms:created>
  <dcterms:modified xmlns:dcterms="http://purl.org/dc/terms/" xmlns:xsi="http://www.w3.org/2001/XMLSchema-instance" xsi:type="dcterms:W3CDTF">2026-09-16T22:01:11Z</dcterms:modified>
</cp:coreProperties>
</file>