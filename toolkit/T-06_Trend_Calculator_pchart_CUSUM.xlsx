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xample" sheetId="2" state="visible" r:id="rId2"/>
    <sheet xmlns:r="http://schemas.openxmlformats.org/officeDocument/2006/relationships" name="You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"/>
    <numFmt numFmtId="166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0017375E"/>
      <sz val="15"/>
    </font>
    <font>
      <name val="Calibri"/>
      <i val="1"/>
      <color rgb="00595959"/>
      <sz val="10"/>
    </font>
    <font>
      <name val="Calibri"/>
      <b val="1"/>
      <color rgb="0017375E"/>
      <sz val="12"/>
    </font>
    <font>
      <name val="Calibri"/>
      <sz val="10"/>
    </font>
    <font>
      <name val="Calibri"/>
      <b val="1"/>
      <sz val="10"/>
    </font>
    <font>
      <name val="Calibri"/>
      <color rgb="000000FF"/>
      <sz val="10"/>
    </font>
    <font>
      <name val="Calibri"/>
      <b val="1"/>
      <color rgb="00FFFFFF"/>
      <sz val="10"/>
    </font>
    <font>
      <name val="Calibri"/>
      <color rgb="00A6A6A6"/>
      <sz val="8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17375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pivotButton="0" quotePrefix="0" xfId="0"/>
    <xf numFmtId="0" fontId="4" fillId="3" borderId="1" pivotButton="0" quotePrefix="0" xfId="0"/>
    <xf numFmtId="0" fontId="5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2" fontId="6" fillId="2" borderId="1" pivotButton="0" quotePrefix="0" xfId="0"/>
    <xf numFmtId="3" fontId="6" fillId="2" borderId="1" pivotButton="0" quotePrefix="0" xfId="0"/>
    <xf numFmtId="164" fontId="4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1" fontId="6" fillId="2" borderId="1" pivotButton="0" quotePrefix="0" xfId="0"/>
    <xf numFmtId="3" fontId="4" fillId="3" borderId="1" pivotButton="0" quotePrefix="0" xfId="0"/>
    <xf numFmtId="165" fontId="4" fillId="3" borderId="1" pivotButton="0" quotePrefix="0" xfId="0"/>
    <xf numFmtId="2" fontId="4" fillId="3" borderId="1" pivotButton="0" quotePrefix="0" xfId="0"/>
    <xf numFmtId="166" fontId="4" fillId="3" borderId="1" pivotButton="0" quotePrefix="0" xfId="0"/>
    <xf numFmtId="1" fontId="4" fillId="3" borderId="1" pivotButton="0" quotePrefix="0" xfId="0"/>
    <xf numFmtId="2" fontId="8" fillId="0" borderId="0" pivotButton="0" quotePrefix="0" xfId="0"/>
    <xf numFmtId="0" fontId="8" fillId="0" borderId="0" pivotButton="0" quotePrefix="0" xfId="0"/>
    <xf numFmtId="1" fontId="5" fillId="3" borderId="1" pivotButton="0" quotePrefix="0" xfId="0"/>
    <xf numFmtId="165" fontId="5" fillId="3" borderId="1" pivotButton="0" quotePrefix="0" xfId="0"/>
    <xf numFmtId="2" fontId="5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4B084"/>
        </patternFill>
      </fill>
    </dxf>
    <dxf>
      <fill>
        <patternFill patternType="solid">
          <fgColor rgb="00E066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Counts against control limits</a:t>
            </a:r>
          </a:p>
        </rich>
      </tx>
    </title>
    <plotArea>
      <lineChart>
        <grouping val="standard"/>
        <ser>
          <idx val="0"/>
          <order val="0"/>
          <tx>
            <v>Observed</v>
          </tx>
          <spPr>
            <a:ln xmlns:a="http://schemas.openxmlformats.org/drawingml/2006/main">
              <a:solidFill>
                <a:srgbClr val="17375E"/>
              </a:solidFill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'Example'!$A$15:$A$21</f>
            </numRef>
          </cat>
          <val>
            <numRef>
              <f>'Example'!$W$15:$W$21</f>
            </numRef>
          </val>
          <smooth val="0"/>
        </ser>
        <ser>
          <idx val="1"/>
          <order val="1"/>
          <tx>
            <v>Expected</v>
          </tx>
          <spPr>
            <a:ln xmlns:a="http://schemas.openxmlformats.org/drawingml/2006/main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'Example'!$A$15:$A$21</f>
            </numRef>
          </cat>
          <val>
            <numRef>
              <f>'Example'!$X$15:$X$21</f>
            </numRef>
          </val>
          <smooth val="0"/>
        </ser>
        <ser>
          <idx val="2"/>
          <order val="2"/>
          <tx>
            <v>2σ limit</v>
          </tx>
          <spPr>
            <a:ln xmlns:a="http://schemas.openxmlformats.org/drawingml/2006/main">
              <a:solidFill>
                <a:srgbClr val="ED7D3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'Example'!$A$15:$A$21</f>
            </numRef>
          </cat>
          <val>
            <numRef>
              <f>'Example'!$Y$15:$Y$21</f>
            </numRef>
          </val>
          <smooth val="0"/>
        </ser>
        <ser>
          <idx val="3"/>
          <order val="3"/>
          <tx>
            <v>3σ limit</v>
          </tx>
          <spPr>
            <a:ln xmlns:a="http://schemas.openxmlformats.org/drawingml/2006/main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'Example'!$A$15:$A$21</f>
            </numRef>
          </cat>
          <val>
            <numRef>
              <f>'Example'!$Z$15:$Z$21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 per period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Standardized CUSUM</a:t>
            </a:r>
          </a:p>
        </rich>
      </tx>
    </title>
    <plotArea>
      <lineChart>
        <grouping val="standard"/>
        <ser>
          <idx val="0"/>
          <order val="0"/>
          <tx>
            <v>CUSUM S(t)</v>
          </tx>
          <spPr>
            <a:ln xmlns:a="http://schemas.openxmlformats.org/drawingml/2006/main">
              <a:solidFill>
                <a:srgbClr val="17375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'Example'!$A$15:$A$21</f>
            </numRef>
          </cat>
          <val>
            <numRef>
              <f>'Example'!$AA$15:$AA$21</f>
            </numRef>
          </val>
        </ser>
        <ser>
          <idx val="1"/>
          <order val="1"/>
          <tx>
            <v>Decision limit h</v>
          </tx>
          <spPr>
            <a:ln xmlns:a="http://schemas.openxmlformats.org/drawingml/2006/main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'Example'!$A$15:$A$21</f>
            </numRef>
          </cat>
          <val>
            <numRef>
              <f>'Example'!$AB$15:$AB$21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Counts against control limits</a:t>
            </a:r>
          </a:p>
        </rich>
      </tx>
    </title>
    <plotArea>
      <lineChart>
        <grouping val="standard"/>
        <ser>
          <idx val="0"/>
          <order val="0"/>
          <tx>
            <v>Observed</v>
          </tx>
          <spPr>
            <a:ln xmlns:a="http://schemas.openxmlformats.org/drawingml/2006/main">
              <a:solidFill>
                <a:srgbClr val="17375E"/>
              </a:solidFill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'Your data'!$A$15:$A$38</f>
            </numRef>
          </cat>
          <val>
            <numRef>
              <f>'Your data'!$W$15:$W$38</f>
            </numRef>
          </val>
          <smooth val="0"/>
        </ser>
        <ser>
          <idx val="1"/>
          <order val="1"/>
          <tx>
            <v>Expected</v>
          </tx>
          <spPr>
            <a:ln xmlns:a="http://schemas.openxmlformats.org/drawingml/2006/main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'Your data'!$A$15:$A$38</f>
            </numRef>
          </cat>
          <val>
            <numRef>
              <f>'Your data'!$X$15:$X$38</f>
            </numRef>
          </val>
          <smooth val="0"/>
        </ser>
        <ser>
          <idx val="2"/>
          <order val="2"/>
          <tx>
            <v>2σ limit</v>
          </tx>
          <spPr>
            <a:ln xmlns:a="http://schemas.openxmlformats.org/drawingml/2006/main">
              <a:solidFill>
                <a:srgbClr val="ED7D3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'Your data'!$A$15:$A$38</f>
            </numRef>
          </cat>
          <val>
            <numRef>
              <f>'Your data'!$Y$15:$Y$38</f>
            </numRef>
          </val>
          <smooth val="0"/>
        </ser>
        <ser>
          <idx val="3"/>
          <order val="3"/>
          <tx>
            <v>3σ limit</v>
          </tx>
          <spPr>
            <a:ln xmlns:a="http://schemas.openxmlformats.org/drawingml/2006/main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'Your data'!$A$15:$A$38</f>
            </numRef>
          </cat>
          <val>
            <numRef>
              <f>'Your data'!$Z$15:$Z$38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 per period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Standardized CUSUM</a:t>
            </a:r>
          </a:p>
        </rich>
      </tx>
    </title>
    <plotArea>
      <lineChart>
        <grouping val="standard"/>
        <ser>
          <idx val="0"/>
          <order val="0"/>
          <tx>
            <v>CUSUM S(t)</v>
          </tx>
          <spPr>
            <a:ln xmlns:a="http://schemas.openxmlformats.org/drawingml/2006/main">
              <a:solidFill>
                <a:srgbClr val="17375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'Your data'!$A$15:$A$38</f>
            </numRef>
          </cat>
          <val>
            <numRef>
              <f>'Your data'!$AA$15:$AA$38</f>
            </numRef>
          </val>
        </ser>
        <ser>
          <idx val="1"/>
          <order val="1"/>
          <tx>
            <v>Decision limit h</v>
          </tx>
          <spPr>
            <a:ln xmlns:a="http://schemas.openxmlformats.org/drawingml/2006/main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'Your data'!$A$15:$A$38</f>
            </numRef>
          </cat>
          <val>
            <numRef>
              <f>'Your data'!$AB$15:$AB$38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53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70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53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70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9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Trend calculator: p-chart and CUSUM</t>
        </is>
      </c>
    </row>
    <row r="2">
      <c r="A2" s="2" t="inlineStr">
        <is>
          <t>Signal Management in Medical Device Vigilance · Selim Medical Press · © 2026 · Tool T-6 · Chapter 8 (section 8.5; Table 8.1)</t>
        </is>
      </c>
    </row>
    <row r="3">
      <c r="A3" s="2" t="inlineStr">
        <is>
          <t>Educational template — adapt to your quality system. Not a regulatory requirement. All example data are fictional.</t>
        </is>
      </c>
    </row>
    <row r="5">
      <c r="A5" s="3" t="inlineStr">
        <is>
          <t>Purpose</t>
        </is>
      </c>
    </row>
    <row r="6" ht="45" customHeight="1">
      <c r="A6" s="4" t="inlineStr">
        <is>
          <t>Takes counts and denominators per period and returns the expected count, standard deviation, 2σ and 3σ p-chart limits (as counts and as rates per 1,000), exact binomial checks, run-rule flags, and a standardized CUSUM with user-set k and h.</t>
        </is>
      </c>
    </row>
    <row r="7">
      <c r="A7" s="3" t="inlineStr">
        <is>
          <t>When to use</t>
        </is>
      </c>
    </row>
    <row r="8" ht="45" customHeight="1">
      <c r="A8" s="4" t="inlineStr">
        <is>
          <t>Monthly (or at the frequency in your PMS plan) for any product whose trend method is written into the PMS plan (Tool T-5). Normal limits are usable when the expected count is about 20; with expected counts of 2–3 per period use the exact columns.</t>
        </is>
      </c>
    </row>
    <row r="9">
      <c r="A9" s="3" t="inlineStr">
        <is>
          <t>Sheets</t>
        </is>
      </c>
    </row>
    <row r="10" ht="30" customHeight="1">
      <c r="A10" s="4" t="inlineStr">
        <is>
          <t>Example — the fictional Suturex misfire series, Year 3, month 10 to Year 4, month 4 (19, 23, 22, 22, 27, 31, 36), baseline 0.40 per 1,000, 50,000 units per month. It reproduces Table 8.1.</t>
        </is>
      </c>
    </row>
    <row r="11" ht="30" customHeight="1">
      <c r="A11" s="4" t="inlineStr">
        <is>
          <t>Your data — the same calculator, blank. Enter the baseline rate, the default units per period, k, h and S0, then one row per period (24 rows). Use column B only when a period's units differ from the default.</t>
        </is>
      </c>
    </row>
    <row r="12">
      <c r="A12" s="3" t="inlineStr">
        <is>
          <t>Formulas</t>
        </is>
      </c>
    </row>
    <row r="13" ht="30" customHeight="1">
      <c r="A13" s="4" t="inlineStr">
        <is>
          <t>Expected = units × p0.   SD = √(units × p0 × (1 − p0)).   2σ limit = expected + 2 × SD.   3σ limit = expected + 3 × SD.</t>
        </is>
      </c>
    </row>
    <row r="14" ht="30" customHeight="1">
      <c r="A14" s="4" t="inlineStr">
        <is>
          <t>Beyond 2σ / 3σ: count strictly greater than the limit. '2 of 3': at least two of the latest three periods (fewer at the start of the series) are beyond 2σ.</t>
        </is>
      </c>
    </row>
    <row r="15" ht="30" customHeight="1">
      <c r="A15" s="4" t="inlineStr">
        <is>
          <t>Exact P(X ≥ count) = 1 − BINOM.DIST(count − 1, units, p0, TRUE). Exact limits = BINOM.INV(units, p0, 0.97725 or 0.99865).</t>
        </is>
      </c>
    </row>
    <row r="16" ht="15" customHeight="1">
      <c r="A16" s="4" t="inlineStr">
        <is>
          <t>CUSUM: z = (count − expected) ÷ SD; S(t) = max(0, S(t−1) + z − k). A signal is S(t) &gt; h.</t>
        </is>
      </c>
    </row>
    <row r="17">
      <c r="A17" s="3" t="inlineStr">
        <is>
          <t>Caution</t>
        </is>
      </c>
    </row>
    <row r="18" ht="30" customHeight="1">
      <c r="A18" s="4" t="inlineStr">
        <is>
          <t>Thresholds, k, h and trigger rules are company-designed examples, not regulatory requirements. Justify them in the PMS plan (Tool T-5). Severity changes cannot be charted; route them to clinical review.</t>
        </is>
      </c>
    </row>
    <row r="19" ht="15" customHeight="1">
      <c r="A19" s="4" t="inlineStr">
        <is>
          <t>Companion web tool: https://abdu94-hash.github.io/device-signal-tool/</t>
        </is>
      </c>
    </row>
  </sheetData>
  <pageMargins left="0.75" right="0.75" top="1" bottom="1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52"/>
  <sheetViews>
    <sheetView showGridLines="0"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0" customWidth="1" min="4" max="4"/>
    <col width="10" customWidth="1" min="5" max="5"/>
    <col width="8" customWidth="1" min="6" max="6"/>
    <col width="10" customWidth="1" min="7" max="7"/>
    <col width="10" customWidth="1" min="8" max="8"/>
    <col width="9" customWidth="1" min="9" max="9"/>
    <col width="9" customWidth="1" min="10" max="10"/>
    <col width="9" customWidth="1" min="11" max="11"/>
    <col width="8" customWidth="1" min="12" max="12"/>
    <col width="8" customWidth="1" min="13" max="13"/>
    <col width="11" customWidth="1" min="14" max="14"/>
    <col width="10" customWidth="1" min="15" max="15"/>
    <col width="11" customWidth="1" min="16" max="16"/>
    <col width="11" customWidth="1" min="17" max="17"/>
    <col width="7" customWidth="1" min="18" max="18"/>
    <col width="9" customWidth="1" min="19" max="19"/>
    <col width="8" customWidth="1" min="20" max="20"/>
    <col width="26" customWidth="1" min="21" max="21"/>
    <col width="10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</cols>
  <sheetData>
    <row r="1">
      <c r="A1" s="1" t="inlineStr">
        <is>
          <t>Trend calculator: p-chart and CUSUM — Example (Suturex, fictional)</t>
        </is>
      </c>
    </row>
    <row r="2">
      <c r="A2" s="2" t="inlineStr">
        <is>
          <t>Signal Management in Medical Device Vigilance · Selim Medical Press · © 2026 · Tool T-6 · Chapter 8</t>
        </is>
      </c>
    </row>
    <row r="3">
      <c r="A3" s="2" t="inlineStr">
        <is>
          <t>Educational template — adapt to your quality system. Not a regulatory requirement. All example data are fictional.</t>
        </is>
      </c>
    </row>
    <row r="4">
      <c r="A4" s="5" t="inlineStr">
        <is>
          <t>Legend:</t>
        </is>
      </c>
      <c r="B4" s="6" t="inlineStr">
        <is>
          <t>Input (edit)</t>
        </is>
      </c>
      <c r="C4" s="7" t="inlineStr">
        <is>
          <t>Calculated (do not edit)</t>
        </is>
      </c>
    </row>
    <row r="6">
      <c r="A6" s="8" t="inlineStr">
        <is>
          <t>INPUTS</t>
        </is>
      </c>
    </row>
    <row r="7">
      <c r="A7" s="9" t="inlineStr">
        <is>
          <t>Baseline rate per 1,000 units</t>
        </is>
      </c>
      <c r="C7" s="10" t="n">
        <v>0.4</v>
      </c>
      <c r="E7" s="2" t="inlineStr">
        <is>
          <t>Company choices (example): screening = any point beyond 2σ, or CUSUM &gt; h; reporting trigger = one point beyond 3σ, or 2 of 3 consecutive points beyond 2σ.</t>
        </is>
      </c>
    </row>
    <row r="8">
      <c r="A8" s="9" t="inlineStr">
        <is>
          <t>Units per period (default; override per row in column B)</t>
        </is>
      </c>
      <c r="C8" s="11" t="n">
        <v>50000</v>
      </c>
      <c r="E8" s="2" t="inlineStr">
        <is>
          <t>Exact limits use the binomial distribution (BINOM.INV); a count ABOVE the exact limit breaches it. With small expected counts (2–3 per period) rely on the exact columns, not the normal limits.</t>
        </is>
      </c>
    </row>
    <row r="9">
      <c r="A9" s="9" t="inlineStr">
        <is>
          <t>CUSUM reference value k (in SD units)</t>
        </is>
      </c>
      <c r="C9" s="10" t="n">
        <v>0.5</v>
      </c>
      <c r="E9" s="2" t="inlineStr">
        <is>
          <t>Standardized CUSUM: z = (count − expected) ÷ SD;  S(t) = max(0, S(t−1) + z − k); signal when S(t) &gt; h.</t>
        </is>
      </c>
    </row>
    <row r="10">
      <c r="A10" s="9" t="inlineStr">
        <is>
          <t>CUSUM decision limit h (in SD units)</t>
        </is>
      </c>
      <c r="C10" s="10" t="n">
        <v>4</v>
      </c>
      <c r="E10" s="2" t="inlineStr">
        <is>
          <t>Grey chart-helper columns (W–AB) deliberately return the N/A error value for empty periods so the charts leave gaps; do not delete them.</t>
        </is>
      </c>
    </row>
    <row r="11">
      <c r="A11" s="9" t="inlineStr">
        <is>
          <t>CUSUM starting value S0</t>
        </is>
      </c>
      <c r="C11" s="10" t="n">
        <v>0</v>
      </c>
    </row>
    <row r="12">
      <c r="A12" s="9" t="inlineStr">
        <is>
          <t>Baseline proportion p0 = rate ÷ 1,000</t>
        </is>
      </c>
      <c r="C12" s="12">
        <f>IF(C7="","",C7/1000)</f>
        <v/>
      </c>
    </row>
    <row r="14" ht="54" customHeight="1">
      <c r="A14" s="13" t="inlineStr">
        <is>
          <t>Period</t>
        </is>
      </c>
      <c r="B14" s="13" t="inlineStr">
        <is>
          <t>Units override (optional)</t>
        </is>
      </c>
      <c r="C14" s="13" t="inlineStr">
        <is>
          <t>Observed count</t>
        </is>
      </c>
      <c r="D14" s="13" t="inlineStr">
        <is>
          <t>Units used</t>
        </is>
      </c>
      <c r="E14" s="13" t="inlineStr">
        <is>
          <t>Expected count</t>
        </is>
      </c>
      <c r="F14" s="13" t="inlineStr">
        <is>
          <t>SD</t>
        </is>
      </c>
      <c r="G14" s="13" t="inlineStr">
        <is>
          <t>2σ limit (count)</t>
        </is>
      </c>
      <c r="H14" s="13" t="inlineStr">
        <is>
          <t>3σ limit (count)</t>
        </is>
      </c>
      <c r="I14" s="13" t="inlineStr">
        <is>
          <t>Rate per 1,000</t>
        </is>
      </c>
      <c r="J14" s="13" t="inlineStr">
        <is>
          <t>2σ limit per 1,000</t>
        </is>
      </c>
      <c r="K14" s="13" t="inlineStr">
        <is>
          <t>3σ limit per 1,000</t>
        </is>
      </c>
      <c r="L14" s="13" t="inlineStr">
        <is>
          <t>Beyond 2σ?</t>
        </is>
      </c>
      <c r="M14" s="13" t="inlineStr">
        <is>
          <t>Beyond 3σ?</t>
        </is>
      </c>
      <c r="N14" s="13" t="inlineStr">
        <is>
          <t>2 of 3 consecutive beyond 2σ?</t>
        </is>
      </c>
      <c r="O14" s="13" t="inlineStr">
        <is>
          <t>Exact P(X ≥ count)</t>
        </is>
      </c>
      <c r="P14" s="13" t="inlineStr">
        <is>
          <t>Exact 2σ-equiv. limit (0.97725)</t>
        </is>
      </c>
      <c r="Q14" s="13" t="inlineStr">
        <is>
          <t>Exact 3σ-equiv. limit (0.99865)</t>
        </is>
      </c>
      <c r="R14" s="13" t="inlineStr">
        <is>
          <t>z</t>
        </is>
      </c>
      <c r="S14" s="13" t="inlineStr">
        <is>
          <t>CUSUM S(t)</t>
        </is>
      </c>
      <c r="T14" s="13" t="inlineStr">
        <is>
          <t>CUSUM &gt; h?</t>
        </is>
      </c>
      <c r="U14" s="13" t="inlineStr">
        <is>
          <t>Chart status</t>
        </is>
      </c>
      <c r="V14" s="13" t="inlineStr">
        <is>
          <t>Reporting trigger met?</t>
        </is>
      </c>
      <c r="W14" s="13" t="inlineStr">
        <is>
          <t>chart: count</t>
        </is>
      </c>
      <c r="X14" s="13" t="inlineStr">
        <is>
          <t>chart: expected</t>
        </is>
      </c>
      <c r="Y14" s="13" t="inlineStr">
        <is>
          <t>chart: 2σ</t>
        </is>
      </c>
      <c r="Z14" s="13" t="inlineStr">
        <is>
          <t>chart: 3σ</t>
        </is>
      </c>
      <c r="AA14" s="13" t="inlineStr">
        <is>
          <t>chart: CUSUM</t>
        </is>
      </c>
      <c r="AB14" s="13" t="inlineStr">
        <is>
          <t>chart: h</t>
        </is>
      </c>
    </row>
    <row r="15">
      <c r="A15" s="6" t="inlineStr">
        <is>
          <t>Year 3, month 10</t>
        </is>
      </c>
      <c r="B15" s="11" t="n"/>
      <c r="C15" s="14" t="n">
        <v>19</v>
      </c>
      <c r="D15" s="15">
        <f>IF($C15="","",IF($B15="",$C$8,$B15))</f>
        <v/>
      </c>
      <c r="E15" s="16">
        <f>IF(OR($C15="",$C$12=""),"",D15*$C$12)</f>
        <v/>
      </c>
      <c r="F15" s="17">
        <f>IF(OR($C15="",$C$12=""),"",SQRT(D15*$C$12*(1-$C$12)))</f>
        <v/>
      </c>
      <c r="G15" s="16">
        <f>IF(OR($C15="",$C$12=""),"",E15+2*F15)</f>
        <v/>
      </c>
      <c r="H15" s="16">
        <f>IF(OR($C15="",$C$12=""),"",E15+3*F15)</f>
        <v/>
      </c>
      <c r="I15" s="17">
        <f>IF($C15="","",C15/D15*1000)</f>
        <v/>
      </c>
      <c r="J15" s="17">
        <f>IF(OR($C15="",$C$12=""),"",G15/D15*1000)</f>
        <v/>
      </c>
      <c r="K15" s="17">
        <f>IF(OR($C15="",$C$12=""),"",H15/D15*1000)</f>
        <v/>
      </c>
      <c r="L15" s="7">
        <f>IF(OR($C15="",$C$12=""),"",IF(C15&gt;G15,"Yes","No"))</f>
        <v/>
      </c>
      <c r="M15" s="7">
        <f>IF(OR($C15="",$C$12=""),"",IF(C15&gt;H15,"Yes","No"))</f>
        <v/>
      </c>
      <c r="N15" s="7">
        <f>IF(OR($C15="",$C$12=""),"",IF(COUNTIF(L15:L15,"Yes")&gt;=2,"Yes","No"))</f>
        <v/>
      </c>
      <c r="O15" s="18">
        <f>IF(OR($C15="",$C$12=""),"",IF(C15=0,1,1-_xlfn.BINOM.DIST(C15-1,D15,$C$12,TRUE)))</f>
        <v/>
      </c>
      <c r="P15" s="19">
        <f>IF(OR($C15="",$C$12=""),"",_xlfn.BINOM.INV(D15,$C$12,0.97725))</f>
        <v/>
      </c>
      <c r="Q15" s="19">
        <f>IF(OR($C15="",$C$12=""),"",_xlfn.BINOM.INV(D15,$C$12,0.99865))</f>
        <v/>
      </c>
      <c r="R15" s="17">
        <f>IF(OR($C15="",$C$12=""),"",(C15-E15)/F15)</f>
        <v/>
      </c>
      <c r="S15" s="17">
        <f>IF(OR($C15="",$C$12=""),"",MAX(0,$C$11+R15-$C$9))</f>
        <v/>
      </c>
      <c r="T15" s="7">
        <f>IF(OR($C15="",$C$12=""),"",IF(S15&gt;$C$10,"Yes","No"))</f>
        <v/>
      </c>
      <c r="U15" s="7">
        <f>IF(OR($C15="",$C$12=""),"",IF(M15="Yes","Beyond 3σ",IF(L15="Yes","Beyond 2σ","Within limits"))&amp;IF(N15="Yes","; 2 of 3 beyond 2σ",""))</f>
        <v/>
      </c>
      <c r="V15" s="7">
        <f>IF(OR($C15="",$C$12=""),"",IF(OR(M15="Yes",N15="Yes"),"Yes","No"))</f>
        <v/>
      </c>
      <c r="W15" s="20">
        <f>IF(ISNUMBER(C15),C15,NA())</f>
        <v/>
      </c>
      <c r="X15" s="20">
        <f>IF(ISNUMBER(E15),E15,NA())</f>
        <v/>
      </c>
      <c r="Y15" s="20">
        <f>IF(ISNUMBER(G15),G15,NA())</f>
        <v/>
      </c>
      <c r="Z15" s="20">
        <f>IF(ISNUMBER(H15),H15,NA())</f>
        <v/>
      </c>
      <c r="AA15" s="20">
        <f>IF(ISNUMBER(S15),S15,NA())</f>
        <v/>
      </c>
      <c r="AB15" s="21">
        <f>IF(ISNUMBER(S15),$C$10,NA())</f>
        <v/>
      </c>
    </row>
    <row r="16">
      <c r="A16" s="6" t="inlineStr">
        <is>
          <t>Year 3, month 11</t>
        </is>
      </c>
      <c r="B16" s="11" t="n"/>
      <c r="C16" s="14" t="n">
        <v>23</v>
      </c>
      <c r="D16" s="15">
        <f>IF($C16="","",IF($B16="",$C$8,$B16))</f>
        <v/>
      </c>
      <c r="E16" s="16">
        <f>IF(OR($C16="",$C$12=""),"",D16*$C$12)</f>
        <v/>
      </c>
      <c r="F16" s="17">
        <f>IF(OR($C16="",$C$12=""),"",SQRT(D16*$C$12*(1-$C$12)))</f>
        <v/>
      </c>
      <c r="G16" s="16">
        <f>IF(OR($C16="",$C$12=""),"",E16+2*F16)</f>
        <v/>
      </c>
      <c r="H16" s="16">
        <f>IF(OR($C16="",$C$12=""),"",E16+3*F16)</f>
        <v/>
      </c>
      <c r="I16" s="17">
        <f>IF($C16="","",C16/D16*1000)</f>
        <v/>
      </c>
      <c r="J16" s="17">
        <f>IF(OR($C16="",$C$12=""),"",G16/D16*1000)</f>
        <v/>
      </c>
      <c r="K16" s="17">
        <f>IF(OR($C16="",$C$12=""),"",H16/D16*1000)</f>
        <v/>
      </c>
      <c r="L16" s="7">
        <f>IF(OR($C16="",$C$12=""),"",IF(C16&gt;G16,"Yes","No"))</f>
        <v/>
      </c>
      <c r="M16" s="7">
        <f>IF(OR($C16="",$C$12=""),"",IF(C16&gt;H16,"Yes","No"))</f>
        <v/>
      </c>
      <c r="N16" s="7">
        <f>IF(OR($C16="",$C$12=""),"",IF(COUNTIF(L15:L16,"Yes")&gt;=2,"Yes","No"))</f>
        <v/>
      </c>
      <c r="O16" s="18">
        <f>IF(OR($C16="",$C$12=""),"",IF(C16=0,1,1-_xlfn.BINOM.DIST(C16-1,D16,$C$12,TRUE)))</f>
        <v/>
      </c>
      <c r="P16" s="19">
        <f>IF(OR($C16="",$C$12=""),"",_xlfn.BINOM.INV(D16,$C$12,0.97725))</f>
        <v/>
      </c>
      <c r="Q16" s="19">
        <f>IF(OR($C16="",$C$12=""),"",_xlfn.BINOM.INV(D16,$C$12,0.99865))</f>
        <v/>
      </c>
      <c r="R16" s="17">
        <f>IF(OR($C16="",$C$12=""),"",(C16-E16)/F16)</f>
        <v/>
      </c>
      <c r="S16" s="17">
        <f>IF(OR($C16="",$C$12=""),"",MAX(0,IF(ISNUMBER(S15),S15,$C$11)+R16-$C$9))</f>
        <v/>
      </c>
      <c r="T16" s="7">
        <f>IF(OR($C16="",$C$12=""),"",IF(S16&gt;$C$10,"Yes","No"))</f>
        <v/>
      </c>
      <c r="U16" s="7">
        <f>IF(OR($C16="",$C$12=""),"",IF(M16="Yes","Beyond 3σ",IF(L16="Yes","Beyond 2σ","Within limits"))&amp;IF(N16="Yes","; 2 of 3 beyond 2σ",""))</f>
        <v/>
      </c>
      <c r="V16" s="7">
        <f>IF(OR($C16="",$C$12=""),"",IF(OR(M16="Yes",N16="Yes"),"Yes","No"))</f>
        <v/>
      </c>
      <c r="W16" s="20">
        <f>IF(ISNUMBER(C16),C16,NA())</f>
        <v/>
      </c>
      <c r="X16" s="20">
        <f>IF(ISNUMBER(E16),E16,NA())</f>
        <v/>
      </c>
      <c r="Y16" s="20">
        <f>IF(ISNUMBER(G16),G16,NA())</f>
        <v/>
      </c>
      <c r="Z16" s="20">
        <f>IF(ISNUMBER(H16),H16,NA())</f>
        <v/>
      </c>
      <c r="AA16" s="20">
        <f>IF(ISNUMBER(S16),S16,NA())</f>
        <v/>
      </c>
      <c r="AB16" s="21">
        <f>IF(ISNUMBER(S16),$C$10,NA())</f>
        <v/>
      </c>
    </row>
    <row r="17">
      <c r="A17" s="6" t="inlineStr">
        <is>
          <t>Year 3, month 12</t>
        </is>
      </c>
      <c r="B17" s="11" t="n"/>
      <c r="C17" s="14" t="n">
        <v>22</v>
      </c>
      <c r="D17" s="15">
        <f>IF($C17="","",IF($B17="",$C$8,$B17))</f>
        <v/>
      </c>
      <c r="E17" s="16">
        <f>IF(OR($C17="",$C$12=""),"",D17*$C$12)</f>
        <v/>
      </c>
      <c r="F17" s="17">
        <f>IF(OR($C17="",$C$12=""),"",SQRT(D17*$C$12*(1-$C$12)))</f>
        <v/>
      </c>
      <c r="G17" s="16">
        <f>IF(OR($C17="",$C$12=""),"",E17+2*F17)</f>
        <v/>
      </c>
      <c r="H17" s="16">
        <f>IF(OR($C17="",$C$12=""),"",E17+3*F17)</f>
        <v/>
      </c>
      <c r="I17" s="17">
        <f>IF($C17="","",C17/D17*1000)</f>
        <v/>
      </c>
      <c r="J17" s="17">
        <f>IF(OR($C17="",$C$12=""),"",G17/D17*1000)</f>
        <v/>
      </c>
      <c r="K17" s="17">
        <f>IF(OR($C17="",$C$12=""),"",H17/D17*1000)</f>
        <v/>
      </c>
      <c r="L17" s="7">
        <f>IF(OR($C17="",$C$12=""),"",IF(C17&gt;G17,"Yes","No"))</f>
        <v/>
      </c>
      <c r="M17" s="7">
        <f>IF(OR($C17="",$C$12=""),"",IF(C17&gt;H17,"Yes","No"))</f>
        <v/>
      </c>
      <c r="N17" s="7">
        <f>IF(OR($C17="",$C$12=""),"",IF(COUNTIF(L15:L17,"Yes")&gt;=2,"Yes","No"))</f>
        <v/>
      </c>
      <c r="O17" s="18">
        <f>IF(OR($C17="",$C$12=""),"",IF(C17=0,1,1-_xlfn.BINOM.DIST(C17-1,D17,$C$12,TRUE)))</f>
        <v/>
      </c>
      <c r="P17" s="19">
        <f>IF(OR($C17="",$C$12=""),"",_xlfn.BINOM.INV(D17,$C$12,0.97725))</f>
        <v/>
      </c>
      <c r="Q17" s="19">
        <f>IF(OR($C17="",$C$12=""),"",_xlfn.BINOM.INV(D17,$C$12,0.99865))</f>
        <v/>
      </c>
      <c r="R17" s="17">
        <f>IF(OR($C17="",$C$12=""),"",(C17-E17)/F17)</f>
        <v/>
      </c>
      <c r="S17" s="17">
        <f>IF(OR($C17="",$C$12=""),"",MAX(0,IF(ISNUMBER(S16),S16,$C$11)+R17-$C$9))</f>
        <v/>
      </c>
      <c r="T17" s="7">
        <f>IF(OR($C17="",$C$12=""),"",IF(S17&gt;$C$10,"Yes","No"))</f>
        <v/>
      </c>
      <c r="U17" s="7">
        <f>IF(OR($C17="",$C$12=""),"",IF(M17="Yes","Beyond 3σ",IF(L17="Yes","Beyond 2σ","Within limits"))&amp;IF(N17="Yes","; 2 of 3 beyond 2σ",""))</f>
        <v/>
      </c>
      <c r="V17" s="7">
        <f>IF(OR($C17="",$C$12=""),"",IF(OR(M17="Yes",N17="Yes"),"Yes","No"))</f>
        <v/>
      </c>
      <c r="W17" s="20">
        <f>IF(ISNUMBER(C17),C17,NA())</f>
        <v/>
      </c>
      <c r="X17" s="20">
        <f>IF(ISNUMBER(E17),E17,NA())</f>
        <v/>
      </c>
      <c r="Y17" s="20">
        <f>IF(ISNUMBER(G17),G17,NA())</f>
        <v/>
      </c>
      <c r="Z17" s="20">
        <f>IF(ISNUMBER(H17),H17,NA())</f>
        <v/>
      </c>
      <c r="AA17" s="20">
        <f>IF(ISNUMBER(S17),S17,NA())</f>
        <v/>
      </c>
      <c r="AB17" s="21">
        <f>IF(ISNUMBER(S17),$C$10,NA())</f>
        <v/>
      </c>
    </row>
    <row r="18">
      <c r="A18" s="6" t="inlineStr">
        <is>
          <t>Year 4, month 1</t>
        </is>
      </c>
      <c r="B18" s="11" t="n"/>
      <c r="C18" s="14" t="n">
        <v>22</v>
      </c>
      <c r="D18" s="15">
        <f>IF($C18="","",IF($B18="",$C$8,$B18))</f>
        <v/>
      </c>
      <c r="E18" s="16">
        <f>IF(OR($C18="",$C$12=""),"",D18*$C$12)</f>
        <v/>
      </c>
      <c r="F18" s="17">
        <f>IF(OR($C18="",$C$12=""),"",SQRT(D18*$C$12*(1-$C$12)))</f>
        <v/>
      </c>
      <c r="G18" s="16">
        <f>IF(OR($C18="",$C$12=""),"",E18+2*F18)</f>
        <v/>
      </c>
      <c r="H18" s="16">
        <f>IF(OR($C18="",$C$12=""),"",E18+3*F18)</f>
        <v/>
      </c>
      <c r="I18" s="17">
        <f>IF($C18="","",C18/D18*1000)</f>
        <v/>
      </c>
      <c r="J18" s="17">
        <f>IF(OR($C18="",$C$12=""),"",G18/D18*1000)</f>
        <v/>
      </c>
      <c r="K18" s="17">
        <f>IF(OR($C18="",$C$12=""),"",H18/D18*1000)</f>
        <v/>
      </c>
      <c r="L18" s="7">
        <f>IF(OR($C18="",$C$12=""),"",IF(C18&gt;G18,"Yes","No"))</f>
        <v/>
      </c>
      <c r="M18" s="7">
        <f>IF(OR($C18="",$C$12=""),"",IF(C18&gt;H18,"Yes","No"))</f>
        <v/>
      </c>
      <c r="N18" s="7">
        <f>IF(OR($C18="",$C$12=""),"",IF(COUNTIF(L16:L18,"Yes")&gt;=2,"Yes","No"))</f>
        <v/>
      </c>
      <c r="O18" s="18">
        <f>IF(OR($C18="",$C$12=""),"",IF(C18=0,1,1-_xlfn.BINOM.DIST(C18-1,D18,$C$12,TRUE)))</f>
        <v/>
      </c>
      <c r="P18" s="19">
        <f>IF(OR($C18="",$C$12=""),"",_xlfn.BINOM.INV(D18,$C$12,0.97725))</f>
        <v/>
      </c>
      <c r="Q18" s="19">
        <f>IF(OR($C18="",$C$12=""),"",_xlfn.BINOM.INV(D18,$C$12,0.99865))</f>
        <v/>
      </c>
      <c r="R18" s="17">
        <f>IF(OR($C18="",$C$12=""),"",(C18-E18)/F18)</f>
        <v/>
      </c>
      <c r="S18" s="17">
        <f>IF(OR($C18="",$C$12=""),"",MAX(0,IF(ISNUMBER(S17),S17,$C$11)+R18-$C$9))</f>
        <v/>
      </c>
      <c r="T18" s="7">
        <f>IF(OR($C18="",$C$12=""),"",IF(S18&gt;$C$10,"Yes","No"))</f>
        <v/>
      </c>
      <c r="U18" s="7">
        <f>IF(OR($C18="",$C$12=""),"",IF(M18="Yes","Beyond 3σ",IF(L18="Yes","Beyond 2σ","Within limits"))&amp;IF(N18="Yes","; 2 of 3 beyond 2σ",""))</f>
        <v/>
      </c>
      <c r="V18" s="7">
        <f>IF(OR($C18="",$C$12=""),"",IF(OR(M18="Yes",N18="Yes"),"Yes","No"))</f>
        <v/>
      </c>
      <c r="W18" s="20">
        <f>IF(ISNUMBER(C18),C18,NA())</f>
        <v/>
      </c>
      <c r="X18" s="20">
        <f>IF(ISNUMBER(E18),E18,NA())</f>
        <v/>
      </c>
      <c r="Y18" s="20">
        <f>IF(ISNUMBER(G18),G18,NA())</f>
        <v/>
      </c>
      <c r="Z18" s="20">
        <f>IF(ISNUMBER(H18),H18,NA())</f>
        <v/>
      </c>
      <c r="AA18" s="20">
        <f>IF(ISNUMBER(S18),S18,NA())</f>
        <v/>
      </c>
      <c r="AB18" s="21">
        <f>IF(ISNUMBER(S18),$C$10,NA())</f>
        <v/>
      </c>
    </row>
    <row r="19">
      <c r="A19" s="6" t="inlineStr">
        <is>
          <t>Year 4, month 2</t>
        </is>
      </c>
      <c r="B19" s="11" t="n"/>
      <c r="C19" s="14" t="n">
        <v>27</v>
      </c>
      <c r="D19" s="15">
        <f>IF($C19="","",IF($B19="",$C$8,$B19))</f>
        <v/>
      </c>
      <c r="E19" s="16">
        <f>IF(OR($C19="",$C$12=""),"",D19*$C$12)</f>
        <v/>
      </c>
      <c r="F19" s="17">
        <f>IF(OR($C19="",$C$12=""),"",SQRT(D19*$C$12*(1-$C$12)))</f>
        <v/>
      </c>
      <c r="G19" s="16">
        <f>IF(OR($C19="",$C$12=""),"",E19+2*F19)</f>
        <v/>
      </c>
      <c r="H19" s="16">
        <f>IF(OR($C19="",$C$12=""),"",E19+3*F19)</f>
        <v/>
      </c>
      <c r="I19" s="17">
        <f>IF($C19="","",C19/D19*1000)</f>
        <v/>
      </c>
      <c r="J19" s="17">
        <f>IF(OR($C19="",$C$12=""),"",G19/D19*1000)</f>
        <v/>
      </c>
      <c r="K19" s="17">
        <f>IF(OR($C19="",$C$12=""),"",H19/D19*1000)</f>
        <v/>
      </c>
      <c r="L19" s="7">
        <f>IF(OR($C19="",$C$12=""),"",IF(C19&gt;G19,"Yes","No"))</f>
        <v/>
      </c>
      <c r="M19" s="7">
        <f>IF(OR($C19="",$C$12=""),"",IF(C19&gt;H19,"Yes","No"))</f>
        <v/>
      </c>
      <c r="N19" s="7">
        <f>IF(OR($C19="",$C$12=""),"",IF(COUNTIF(L17:L19,"Yes")&gt;=2,"Yes","No"))</f>
        <v/>
      </c>
      <c r="O19" s="18">
        <f>IF(OR($C19="",$C$12=""),"",IF(C19=0,1,1-_xlfn.BINOM.DIST(C19-1,D19,$C$12,TRUE)))</f>
        <v/>
      </c>
      <c r="P19" s="19">
        <f>IF(OR($C19="",$C$12=""),"",_xlfn.BINOM.INV(D19,$C$12,0.97725))</f>
        <v/>
      </c>
      <c r="Q19" s="19">
        <f>IF(OR($C19="",$C$12=""),"",_xlfn.BINOM.INV(D19,$C$12,0.99865))</f>
        <v/>
      </c>
      <c r="R19" s="17">
        <f>IF(OR($C19="",$C$12=""),"",(C19-E19)/F19)</f>
        <v/>
      </c>
      <c r="S19" s="17">
        <f>IF(OR($C19="",$C$12=""),"",MAX(0,IF(ISNUMBER(S18),S18,$C$11)+R19-$C$9))</f>
        <v/>
      </c>
      <c r="T19" s="7">
        <f>IF(OR($C19="",$C$12=""),"",IF(S19&gt;$C$10,"Yes","No"))</f>
        <v/>
      </c>
      <c r="U19" s="7">
        <f>IF(OR($C19="",$C$12=""),"",IF(M19="Yes","Beyond 3σ",IF(L19="Yes","Beyond 2σ","Within limits"))&amp;IF(N19="Yes","; 2 of 3 beyond 2σ",""))</f>
        <v/>
      </c>
      <c r="V19" s="7">
        <f>IF(OR($C19="",$C$12=""),"",IF(OR(M19="Yes",N19="Yes"),"Yes","No"))</f>
        <v/>
      </c>
      <c r="W19" s="20">
        <f>IF(ISNUMBER(C19),C19,NA())</f>
        <v/>
      </c>
      <c r="X19" s="20">
        <f>IF(ISNUMBER(E19),E19,NA())</f>
        <v/>
      </c>
      <c r="Y19" s="20">
        <f>IF(ISNUMBER(G19),G19,NA())</f>
        <v/>
      </c>
      <c r="Z19" s="20">
        <f>IF(ISNUMBER(H19),H19,NA())</f>
        <v/>
      </c>
      <c r="AA19" s="20">
        <f>IF(ISNUMBER(S19),S19,NA())</f>
        <v/>
      </c>
      <c r="AB19" s="21">
        <f>IF(ISNUMBER(S19),$C$10,NA())</f>
        <v/>
      </c>
    </row>
    <row r="20">
      <c r="A20" s="6" t="inlineStr">
        <is>
          <t>Year 4, month 3</t>
        </is>
      </c>
      <c r="B20" s="11" t="n"/>
      <c r="C20" s="14" t="n">
        <v>31</v>
      </c>
      <c r="D20" s="15">
        <f>IF($C20="","",IF($B20="",$C$8,$B20))</f>
        <v/>
      </c>
      <c r="E20" s="16">
        <f>IF(OR($C20="",$C$12=""),"",D20*$C$12)</f>
        <v/>
      </c>
      <c r="F20" s="17">
        <f>IF(OR($C20="",$C$12=""),"",SQRT(D20*$C$12*(1-$C$12)))</f>
        <v/>
      </c>
      <c r="G20" s="16">
        <f>IF(OR($C20="",$C$12=""),"",E20+2*F20)</f>
        <v/>
      </c>
      <c r="H20" s="16">
        <f>IF(OR($C20="",$C$12=""),"",E20+3*F20)</f>
        <v/>
      </c>
      <c r="I20" s="17">
        <f>IF($C20="","",C20/D20*1000)</f>
        <v/>
      </c>
      <c r="J20" s="17">
        <f>IF(OR($C20="",$C$12=""),"",G20/D20*1000)</f>
        <v/>
      </c>
      <c r="K20" s="17">
        <f>IF(OR($C20="",$C$12=""),"",H20/D20*1000)</f>
        <v/>
      </c>
      <c r="L20" s="7">
        <f>IF(OR($C20="",$C$12=""),"",IF(C20&gt;G20,"Yes","No"))</f>
        <v/>
      </c>
      <c r="M20" s="7">
        <f>IF(OR($C20="",$C$12=""),"",IF(C20&gt;H20,"Yes","No"))</f>
        <v/>
      </c>
      <c r="N20" s="7">
        <f>IF(OR($C20="",$C$12=""),"",IF(COUNTIF(L18:L20,"Yes")&gt;=2,"Yes","No"))</f>
        <v/>
      </c>
      <c r="O20" s="18">
        <f>IF(OR($C20="",$C$12=""),"",IF(C20=0,1,1-_xlfn.BINOM.DIST(C20-1,D20,$C$12,TRUE)))</f>
        <v/>
      </c>
      <c r="P20" s="19">
        <f>IF(OR($C20="",$C$12=""),"",_xlfn.BINOM.INV(D20,$C$12,0.97725))</f>
        <v/>
      </c>
      <c r="Q20" s="19">
        <f>IF(OR($C20="",$C$12=""),"",_xlfn.BINOM.INV(D20,$C$12,0.99865))</f>
        <v/>
      </c>
      <c r="R20" s="17">
        <f>IF(OR($C20="",$C$12=""),"",(C20-E20)/F20)</f>
        <v/>
      </c>
      <c r="S20" s="17">
        <f>IF(OR($C20="",$C$12=""),"",MAX(0,IF(ISNUMBER(S19),S19,$C$11)+R20-$C$9))</f>
        <v/>
      </c>
      <c r="T20" s="7">
        <f>IF(OR($C20="",$C$12=""),"",IF(S20&gt;$C$10,"Yes","No"))</f>
        <v/>
      </c>
      <c r="U20" s="7">
        <f>IF(OR($C20="",$C$12=""),"",IF(M20="Yes","Beyond 3σ",IF(L20="Yes","Beyond 2σ","Within limits"))&amp;IF(N20="Yes","; 2 of 3 beyond 2σ",""))</f>
        <v/>
      </c>
      <c r="V20" s="7">
        <f>IF(OR($C20="",$C$12=""),"",IF(OR(M20="Yes",N20="Yes"),"Yes","No"))</f>
        <v/>
      </c>
      <c r="W20" s="20">
        <f>IF(ISNUMBER(C20),C20,NA())</f>
        <v/>
      </c>
      <c r="X20" s="20">
        <f>IF(ISNUMBER(E20),E20,NA())</f>
        <v/>
      </c>
      <c r="Y20" s="20">
        <f>IF(ISNUMBER(G20),G20,NA())</f>
        <v/>
      </c>
      <c r="Z20" s="20">
        <f>IF(ISNUMBER(H20),H20,NA())</f>
        <v/>
      </c>
      <c r="AA20" s="20">
        <f>IF(ISNUMBER(S20),S20,NA())</f>
        <v/>
      </c>
      <c r="AB20" s="21">
        <f>IF(ISNUMBER(S20),$C$10,NA())</f>
        <v/>
      </c>
    </row>
    <row r="21">
      <c r="A21" s="6" t="inlineStr">
        <is>
          <t>Year 4, month 4</t>
        </is>
      </c>
      <c r="B21" s="11" t="n"/>
      <c r="C21" s="14" t="n">
        <v>36</v>
      </c>
      <c r="D21" s="15">
        <f>IF($C21="","",IF($B21="",$C$8,$B21))</f>
        <v/>
      </c>
      <c r="E21" s="16">
        <f>IF(OR($C21="",$C$12=""),"",D21*$C$12)</f>
        <v/>
      </c>
      <c r="F21" s="17">
        <f>IF(OR($C21="",$C$12=""),"",SQRT(D21*$C$12*(1-$C$12)))</f>
        <v/>
      </c>
      <c r="G21" s="16">
        <f>IF(OR($C21="",$C$12=""),"",E21+2*F21)</f>
        <v/>
      </c>
      <c r="H21" s="16">
        <f>IF(OR($C21="",$C$12=""),"",E21+3*F21)</f>
        <v/>
      </c>
      <c r="I21" s="17">
        <f>IF($C21="","",C21/D21*1000)</f>
        <v/>
      </c>
      <c r="J21" s="17">
        <f>IF(OR($C21="",$C$12=""),"",G21/D21*1000)</f>
        <v/>
      </c>
      <c r="K21" s="17">
        <f>IF(OR($C21="",$C$12=""),"",H21/D21*1000)</f>
        <v/>
      </c>
      <c r="L21" s="7">
        <f>IF(OR($C21="",$C$12=""),"",IF(C21&gt;G21,"Yes","No"))</f>
        <v/>
      </c>
      <c r="M21" s="7">
        <f>IF(OR($C21="",$C$12=""),"",IF(C21&gt;H21,"Yes","No"))</f>
        <v/>
      </c>
      <c r="N21" s="7">
        <f>IF(OR($C21="",$C$12=""),"",IF(COUNTIF(L19:L21,"Yes")&gt;=2,"Yes","No"))</f>
        <v/>
      </c>
      <c r="O21" s="18">
        <f>IF(OR($C21="",$C$12=""),"",IF(C21=0,1,1-_xlfn.BINOM.DIST(C21-1,D21,$C$12,TRUE)))</f>
        <v/>
      </c>
      <c r="P21" s="19">
        <f>IF(OR($C21="",$C$12=""),"",_xlfn.BINOM.INV(D21,$C$12,0.97725))</f>
        <v/>
      </c>
      <c r="Q21" s="19">
        <f>IF(OR($C21="",$C$12=""),"",_xlfn.BINOM.INV(D21,$C$12,0.99865))</f>
        <v/>
      </c>
      <c r="R21" s="17">
        <f>IF(OR($C21="",$C$12=""),"",(C21-E21)/F21)</f>
        <v/>
      </c>
      <c r="S21" s="17">
        <f>IF(OR($C21="",$C$12=""),"",MAX(0,IF(ISNUMBER(S20),S20,$C$11)+R21-$C$9))</f>
        <v/>
      </c>
      <c r="T21" s="7">
        <f>IF(OR($C21="",$C$12=""),"",IF(S21&gt;$C$10,"Yes","No"))</f>
        <v/>
      </c>
      <c r="U21" s="7">
        <f>IF(OR($C21="",$C$12=""),"",IF(M21="Yes","Beyond 3σ",IF(L21="Yes","Beyond 2σ","Within limits"))&amp;IF(N21="Yes","; 2 of 3 beyond 2σ",""))</f>
        <v/>
      </c>
      <c r="V21" s="7">
        <f>IF(OR($C21="",$C$12=""),"",IF(OR(M21="Yes",N21="Yes"),"Yes","No"))</f>
        <v/>
      </c>
      <c r="W21" s="20">
        <f>IF(ISNUMBER(C21),C21,NA())</f>
        <v/>
      </c>
      <c r="X21" s="20">
        <f>IF(ISNUMBER(E21),E21,NA())</f>
        <v/>
      </c>
      <c r="Y21" s="20">
        <f>IF(ISNUMBER(G21),G21,NA())</f>
        <v/>
      </c>
      <c r="Z21" s="20">
        <f>IF(ISNUMBER(H21),H21,NA())</f>
        <v/>
      </c>
      <c r="AA21" s="20">
        <f>IF(ISNUMBER(S21),S21,NA())</f>
        <v/>
      </c>
      <c r="AB21" s="21">
        <f>IF(ISNUMBER(S21),$C$10,NA())</f>
        <v/>
      </c>
    </row>
    <row r="22">
      <c r="A22" s="6" t="n"/>
      <c r="B22" s="11" t="n"/>
      <c r="C22" s="14" t="n"/>
      <c r="D22" s="15">
        <f>IF($C22="","",IF($B22="",$C$8,$B22))</f>
        <v/>
      </c>
      <c r="E22" s="16">
        <f>IF(OR($C22="",$C$12=""),"",D22*$C$12)</f>
        <v/>
      </c>
      <c r="F22" s="17">
        <f>IF(OR($C22="",$C$12=""),"",SQRT(D22*$C$12*(1-$C$12)))</f>
        <v/>
      </c>
      <c r="G22" s="16">
        <f>IF(OR($C22="",$C$12=""),"",E22+2*F22)</f>
        <v/>
      </c>
      <c r="H22" s="16">
        <f>IF(OR($C22="",$C$12=""),"",E22+3*F22)</f>
        <v/>
      </c>
      <c r="I22" s="17">
        <f>IF($C22="","",C22/D22*1000)</f>
        <v/>
      </c>
      <c r="J22" s="17">
        <f>IF(OR($C22="",$C$12=""),"",G22/D22*1000)</f>
        <v/>
      </c>
      <c r="K22" s="17">
        <f>IF(OR($C22="",$C$12=""),"",H22/D22*1000)</f>
        <v/>
      </c>
      <c r="L22" s="7">
        <f>IF(OR($C22="",$C$12=""),"",IF(C22&gt;G22,"Yes","No"))</f>
        <v/>
      </c>
      <c r="M22" s="7">
        <f>IF(OR($C22="",$C$12=""),"",IF(C22&gt;H22,"Yes","No"))</f>
        <v/>
      </c>
      <c r="N22" s="7">
        <f>IF(OR($C22="",$C$12=""),"",IF(COUNTIF(L20:L22,"Yes")&gt;=2,"Yes","No"))</f>
        <v/>
      </c>
      <c r="O22" s="18">
        <f>IF(OR($C22="",$C$12=""),"",IF(C22=0,1,1-_xlfn.BINOM.DIST(C22-1,D22,$C$12,TRUE)))</f>
        <v/>
      </c>
      <c r="P22" s="19">
        <f>IF(OR($C22="",$C$12=""),"",_xlfn.BINOM.INV(D22,$C$12,0.97725))</f>
        <v/>
      </c>
      <c r="Q22" s="19">
        <f>IF(OR($C22="",$C$12=""),"",_xlfn.BINOM.INV(D22,$C$12,0.99865))</f>
        <v/>
      </c>
      <c r="R22" s="17">
        <f>IF(OR($C22="",$C$12=""),"",(C22-E22)/F22)</f>
        <v/>
      </c>
      <c r="S22" s="17">
        <f>IF(OR($C22="",$C$12=""),"",MAX(0,IF(ISNUMBER(S21),S21,$C$11)+R22-$C$9))</f>
        <v/>
      </c>
      <c r="T22" s="7">
        <f>IF(OR($C22="",$C$12=""),"",IF(S22&gt;$C$10,"Yes","No"))</f>
        <v/>
      </c>
      <c r="U22" s="7">
        <f>IF(OR($C22="",$C$12=""),"",IF(M22="Yes","Beyond 3σ",IF(L22="Yes","Beyond 2σ","Within limits"))&amp;IF(N22="Yes","; 2 of 3 beyond 2σ",""))</f>
        <v/>
      </c>
      <c r="V22" s="7">
        <f>IF(OR($C22="",$C$12=""),"",IF(OR(M22="Yes",N22="Yes"),"Yes","No"))</f>
        <v/>
      </c>
      <c r="W22" s="20">
        <f>IF(ISNUMBER(C22),C22,NA())</f>
        <v/>
      </c>
      <c r="X22" s="20">
        <f>IF(ISNUMBER(E22),E22,NA())</f>
        <v/>
      </c>
      <c r="Y22" s="20">
        <f>IF(ISNUMBER(G22),G22,NA())</f>
        <v/>
      </c>
      <c r="Z22" s="20">
        <f>IF(ISNUMBER(H22),H22,NA())</f>
        <v/>
      </c>
      <c r="AA22" s="20">
        <f>IF(ISNUMBER(S22),S22,NA())</f>
        <v/>
      </c>
      <c r="AB22" s="21">
        <f>IF(ISNUMBER(S22),$C$10,NA())</f>
        <v/>
      </c>
    </row>
    <row r="23">
      <c r="A23" s="6" t="n"/>
      <c r="B23" s="11" t="n"/>
      <c r="C23" s="14" t="n"/>
      <c r="D23" s="15">
        <f>IF($C23="","",IF($B23="",$C$8,$B23))</f>
        <v/>
      </c>
      <c r="E23" s="16">
        <f>IF(OR($C23="",$C$12=""),"",D23*$C$12)</f>
        <v/>
      </c>
      <c r="F23" s="17">
        <f>IF(OR($C23="",$C$12=""),"",SQRT(D23*$C$12*(1-$C$12)))</f>
        <v/>
      </c>
      <c r="G23" s="16">
        <f>IF(OR($C23="",$C$12=""),"",E23+2*F23)</f>
        <v/>
      </c>
      <c r="H23" s="16">
        <f>IF(OR($C23="",$C$12=""),"",E23+3*F23)</f>
        <v/>
      </c>
      <c r="I23" s="17">
        <f>IF($C23="","",C23/D23*1000)</f>
        <v/>
      </c>
      <c r="J23" s="17">
        <f>IF(OR($C23="",$C$12=""),"",G23/D23*1000)</f>
        <v/>
      </c>
      <c r="K23" s="17">
        <f>IF(OR($C23="",$C$12=""),"",H23/D23*1000)</f>
        <v/>
      </c>
      <c r="L23" s="7">
        <f>IF(OR($C23="",$C$12=""),"",IF(C23&gt;G23,"Yes","No"))</f>
        <v/>
      </c>
      <c r="M23" s="7">
        <f>IF(OR($C23="",$C$12=""),"",IF(C23&gt;H23,"Yes","No"))</f>
        <v/>
      </c>
      <c r="N23" s="7">
        <f>IF(OR($C23="",$C$12=""),"",IF(COUNTIF(L21:L23,"Yes")&gt;=2,"Yes","No"))</f>
        <v/>
      </c>
      <c r="O23" s="18">
        <f>IF(OR($C23="",$C$12=""),"",IF(C23=0,1,1-_xlfn.BINOM.DIST(C23-1,D23,$C$12,TRUE)))</f>
        <v/>
      </c>
      <c r="P23" s="19">
        <f>IF(OR($C23="",$C$12=""),"",_xlfn.BINOM.INV(D23,$C$12,0.97725))</f>
        <v/>
      </c>
      <c r="Q23" s="19">
        <f>IF(OR($C23="",$C$12=""),"",_xlfn.BINOM.INV(D23,$C$12,0.99865))</f>
        <v/>
      </c>
      <c r="R23" s="17">
        <f>IF(OR($C23="",$C$12=""),"",(C23-E23)/F23)</f>
        <v/>
      </c>
      <c r="S23" s="17">
        <f>IF(OR($C23="",$C$12=""),"",MAX(0,IF(ISNUMBER(S22),S22,$C$11)+R23-$C$9))</f>
        <v/>
      </c>
      <c r="T23" s="7">
        <f>IF(OR($C23="",$C$12=""),"",IF(S23&gt;$C$10,"Yes","No"))</f>
        <v/>
      </c>
      <c r="U23" s="7">
        <f>IF(OR($C23="",$C$12=""),"",IF(M23="Yes","Beyond 3σ",IF(L23="Yes","Beyond 2σ","Within limits"))&amp;IF(N23="Yes","; 2 of 3 beyond 2σ",""))</f>
        <v/>
      </c>
      <c r="V23" s="7">
        <f>IF(OR($C23="",$C$12=""),"",IF(OR(M23="Yes",N23="Yes"),"Yes","No"))</f>
        <v/>
      </c>
      <c r="W23" s="20">
        <f>IF(ISNUMBER(C23),C23,NA())</f>
        <v/>
      </c>
      <c r="X23" s="20">
        <f>IF(ISNUMBER(E23),E23,NA())</f>
        <v/>
      </c>
      <c r="Y23" s="20">
        <f>IF(ISNUMBER(G23),G23,NA())</f>
        <v/>
      </c>
      <c r="Z23" s="20">
        <f>IF(ISNUMBER(H23),H23,NA())</f>
        <v/>
      </c>
      <c r="AA23" s="20">
        <f>IF(ISNUMBER(S23),S23,NA())</f>
        <v/>
      </c>
      <c r="AB23" s="21">
        <f>IF(ISNUMBER(S23),$C$10,NA())</f>
        <v/>
      </c>
    </row>
    <row r="24">
      <c r="A24" s="6" t="n"/>
      <c r="B24" s="11" t="n"/>
      <c r="C24" s="14" t="n"/>
      <c r="D24" s="15">
        <f>IF($C24="","",IF($B24="",$C$8,$B24))</f>
        <v/>
      </c>
      <c r="E24" s="16">
        <f>IF(OR($C24="",$C$12=""),"",D24*$C$12)</f>
        <v/>
      </c>
      <c r="F24" s="17">
        <f>IF(OR($C24="",$C$12=""),"",SQRT(D24*$C$12*(1-$C$12)))</f>
        <v/>
      </c>
      <c r="G24" s="16">
        <f>IF(OR($C24="",$C$12=""),"",E24+2*F24)</f>
        <v/>
      </c>
      <c r="H24" s="16">
        <f>IF(OR($C24="",$C$12=""),"",E24+3*F24)</f>
        <v/>
      </c>
      <c r="I24" s="17">
        <f>IF($C24="","",C24/D24*1000)</f>
        <v/>
      </c>
      <c r="J24" s="17">
        <f>IF(OR($C24="",$C$12=""),"",G24/D24*1000)</f>
        <v/>
      </c>
      <c r="K24" s="17">
        <f>IF(OR($C24="",$C$12=""),"",H24/D24*1000)</f>
        <v/>
      </c>
      <c r="L24" s="7">
        <f>IF(OR($C24="",$C$12=""),"",IF(C24&gt;G24,"Yes","No"))</f>
        <v/>
      </c>
      <c r="M24" s="7">
        <f>IF(OR($C24="",$C$12=""),"",IF(C24&gt;H24,"Yes","No"))</f>
        <v/>
      </c>
      <c r="N24" s="7">
        <f>IF(OR($C24="",$C$12=""),"",IF(COUNTIF(L22:L24,"Yes")&gt;=2,"Yes","No"))</f>
        <v/>
      </c>
      <c r="O24" s="18">
        <f>IF(OR($C24="",$C$12=""),"",IF(C24=0,1,1-_xlfn.BINOM.DIST(C24-1,D24,$C$12,TRUE)))</f>
        <v/>
      </c>
      <c r="P24" s="19">
        <f>IF(OR($C24="",$C$12=""),"",_xlfn.BINOM.INV(D24,$C$12,0.97725))</f>
        <v/>
      </c>
      <c r="Q24" s="19">
        <f>IF(OR($C24="",$C$12=""),"",_xlfn.BINOM.INV(D24,$C$12,0.99865))</f>
        <v/>
      </c>
      <c r="R24" s="17">
        <f>IF(OR($C24="",$C$12=""),"",(C24-E24)/F24)</f>
        <v/>
      </c>
      <c r="S24" s="17">
        <f>IF(OR($C24="",$C$12=""),"",MAX(0,IF(ISNUMBER(S23),S23,$C$11)+R24-$C$9))</f>
        <v/>
      </c>
      <c r="T24" s="7">
        <f>IF(OR($C24="",$C$12=""),"",IF(S24&gt;$C$10,"Yes","No"))</f>
        <v/>
      </c>
      <c r="U24" s="7">
        <f>IF(OR($C24="",$C$12=""),"",IF(M24="Yes","Beyond 3σ",IF(L24="Yes","Beyond 2σ","Within limits"))&amp;IF(N24="Yes","; 2 of 3 beyond 2σ",""))</f>
        <v/>
      </c>
      <c r="V24" s="7">
        <f>IF(OR($C24="",$C$12=""),"",IF(OR(M24="Yes",N24="Yes"),"Yes","No"))</f>
        <v/>
      </c>
      <c r="W24" s="20">
        <f>IF(ISNUMBER(C24),C24,NA())</f>
        <v/>
      </c>
      <c r="X24" s="20">
        <f>IF(ISNUMBER(E24),E24,NA())</f>
        <v/>
      </c>
      <c r="Y24" s="20">
        <f>IF(ISNUMBER(G24),G24,NA())</f>
        <v/>
      </c>
      <c r="Z24" s="20">
        <f>IF(ISNUMBER(H24),H24,NA())</f>
        <v/>
      </c>
      <c r="AA24" s="20">
        <f>IF(ISNUMBER(S24),S24,NA())</f>
        <v/>
      </c>
      <c r="AB24" s="21">
        <f>IF(ISNUMBER(S24),$C$10,NA())</f>
        <v/>
      </c>
    </row>
    <row r="25">
      <c r="A25" s="6" t="n"/>
      <c r="B25" s="11" t="n"/>
      <c r="C25" s="14" t="n"/>
      <c r="D25" s="15">
        <f>IF($C25="","",IF($B25="",$C$8,$B25))</f>
        <v/>
      </c>
      <c r="E25" s="16">
        <f>IF(OR($C25="",$C$12=""),"",D25*$C$12)</f>
        <v/>
      </c>
      <c r="F25" s="17">
        <f>IF(OR($C25="",$C$12=""),"",SQRT(D25*$C$12*(1-$C$12)))</f>
        <v/>
      </c>
      <c r="G25" s="16">
        <f>IF(OR($C25="",$C$12=""),"",E25+2*F25)</f>
        <v/>
      </c>
      <c r="H25" s="16">
        <f>IF(OR($C25="",$C$12=""),"",E25+3*F25)</f>
        <v/>
      </c>
      <c r="I25" s="17">
        <f>IF($C25="","",C25/D25*1000)</f>
        <v/>
      </c>
      <c r="J25" s="17">
        <f>IF(OR($C25="",$C$12=""),"",G25/D25*1000)</f>
        <v/>
      </c>
      <c r="K25" s="17">
        <f>IF(OR($C25="",$C$12=""),"",H25/D25*1000)</f>
        <v/>
      </c>
      <c r="L25" s="7">
        <f>IF(OR($C25="",$C$12=""),"",IF(C25&gt;G25,"Yes","No"))</f>
        <v/>
      </c>
      <c r="M25" s="7">
        <f>IF(OR($C25="",$C$12=""),"",IF(C25&gt;H25,"Yes","No"))</f>
        <v/>
      </c>
      <c r="N25" s="7">
        <f>IF(OR($C25="",$C$12=""),"",IF(COUNTIF(L23:L25,"Yes")&gt;=2,"Yes","No"))</f>
        <v/>
      </c>
      <c r="O25" s="18">
        <f>IF(OR($C25="",$C$12=""),"",IF(C25=0,1,1-_xlfn.BINOM.DIST(C25-1,D25,$C$12,TRUE)))</f>
        <v/>
      </c>
      <c r="P25" s="19">
        <f>IF(OR($C25="",$C$12=""),"",_xlfn.BINOM.INV(D25,$C$12,0.97725))</f>
        <v/>
      </c>
      <c r="Q25" s="19">
        <f>IF(OR($C25="",$C$12=""),"",_xlfn.BINOM.INV(D25,$C$12,0.99865))</f>
        <v/>
      </c>
      <c r="R25" s="17">
        <f>IF(OR($C25="",$C$12=""),"",(C25-E25)/F25)</f>
        <v/>
      </c>
      <c r="S25" s="17">
        <f>IF(OR($C25="",$C$12=""),"",MAX(0,IF(ISNUMBER(S24),S24,$C$11)+R25-$C$9))</f>
        <v/>
      </c>
      <c r="T25" s="7">
        <f>IF(OR($C25="",$C$12=""),"",IF(S25&gt;$C$10,"Yes","No"))</f>
        <v/>
      </c>
      <c r="U25" s="7">
        <f>IF(OR($C25="",$C$12=""),"",IF(M25="Yes","Beyond 3σ",IF(L25="Yes","Beyond 2σ","Within limits"))&amp;IF(N25="Yes","; 2 of 3 beyond 2σ",""))</f>
        <v/>
      </c>
      <c r="V25" s="7">
        <f>IF(OR($C25="",$C$12=""),"",IF(OR(M25="Yes",N25="Yes"),"Yes","No"))</f>
        <v/>
      </c>
      <c r="W25" s="20">
        <f>IF(ISNUMBER(C25),C25,NA())</f>
        <v/>
      </c>
      <c r="X25" s="20">
        <f>IF(ISNUMBER(E25),E25,NA())</f>
        <v/>
      </c>
      <c r="Y25" s="20">
        <f>IF(ISNUMBER(G25),G25,NA())</f>
        <v/>
      </c>
      <c r="Z25" s="20">
        <f>IF(ISNUMBER(H25),H25,NA())</f>
        <v/>
      </c>
      <c r="AA25" s="20">
        <f>IF(ISNUMBER(S25),S25,NA())</f>
        <v/>
      </c>
      <c r="AB25" s="21">
        <f>IF(ISNUMBER(S25),$C$10,NA())</f>
        <v/>
      </c>
    </row>
    <row r="26">
      <c r="A26" s="6" t="n"/>
      <c r="B26" s="11" t="n"/>
      <c r="C26" s="14" t="n"/>
      <c r="D26" s="15">
        <f>IF($C26="","",IF($B26="",$C$8,$B26))</f>
        <v/>
      </c>
      <c r="E26" s="16">
        <f>IF(OR($C26="",$C$12=""),"",D26*$C$12)</f>
        <v/>
      </c>
      <c r="F26" s="17">
        <f>IF(OR($C26="",$C$12=""),"",SQRT(D26*$C$12*(1-$C$12)))</f>
        <v/>
      </c>
      <c r="G26" s="16">
        <f>IF(OR($C26="",$C$12=""),"",E26+2*F26)</f>
        <v/>
      </c>
      <c r="H26" s="16">
        <f>IF(OR($C26="",$C$12=""),"",E26+3*F26)</f>
        <v/>
      </c>
      <c r="I26" s="17">
        <f>IF($C26="","",C26/D26*1000)</f>
        <v/>
      </c>
      <c r="J26" s="17">
        <f>IF(OR($C26="",$C$12=""),"",G26/D26*1000)</f>
        <v/>
      </c>
      <c r="K26" s="17">
        <f>IF(OR($C26="",$C$12=""),"",H26/D26*1000)</f>
        <v/>
      </c>
      <c r="L26" s="7">
        <f>IF(OR($C26="",$C$12=""),"",IF(C26&gt;G26,"Yes","No"))</f>
        <v/>
      </c>
      <c r="M26" s="7">
        <f>IF(OR($C26="",$C$12=""),"",IF(C26&gt;H26,"Yes","No"))</f>
        <v/>
      </c>
      <c r="N26" s="7">
        <f>IF(OR($C26="",$C$12=""),"",IF(COUNTIF(L24:L26,"Yes")&gt;=2,"Yes","No"))</f>
        <v/>
      </c>
      <c r="O26" s="18">
        <f>IF(OR($C26="",$C$12=""),"",IF(C26=0,1,1-_xlfn.BINOM.DIST(C26-1,D26,$C$12,TRUE)))</f>
        <v/>
      </c>
      <c r="P26" s="19">
        <f>IF(OR($C26="",$C$12=""),"",_xlfn.BINOM.INV(D26,$C$12,0.97725))</f>
        <v/>
      </c>
      <c r="Q26" s="19">
        <f>IF(OR($C26="",$C$12=""),"",_xlfn.BINOM.INV(D26,$C$12,0.99865))</f>
        <v/>
      </c>
      <c r="R26" s="17">
        <f>IF(OR($C26="",$C$12=""),"",(C26-E26)/F26)</f>
        <v/>
      </c>
      <c r="S26" s="17">
        <f>IF(OR($C26="",$C$12=""),"",MAX(0,IF(ISNUMBER(S25),S25,$C$11)+R26-$C$9))</f>
        <v/>
      </c>
      <c r="T26" s="7">
        <f>IF(OR($C26="",$C$12=""),"",IF(S26&gt;$C$10,"Yes","No"))</f>
        <v/>
      </c>
      <c r="U26" s="7">
        <f>IF(OR($C26="",$C$12=""),"",IF(M26="Yes","Beyond 3σ",IF(L26="Yes","Beyond 2σ","Within limits"))&amp;IF(N26="Yes","; 2 of 3 beyond 2σ",""))</f>
        <v/>
      </c>
      <c r="V26" s="7">
        <f>IF(OR($C26="",$C$12=""),"",IF(OR(M26="Yes",N26="Yes"),"Yes","No"))</f>
        <v/>
      </c>
      <c r="W26" s="20">
        <f>IF(ISNUMBER(C26),C26,NA())</f>
        <v/>
      </c>
      <c r="X26" s="20">
        <f>IF(ISNUMBER(E26),E26,NA())</f>
        <v/>
      </c>
      <c r="Y26" s="20">
        <f>IF(ISNUMBER(G26),G26,NA())</f>
        <v/>
      </c>
      <c r="Z26" s="20">
        <f>IF(ISNUMBER(H26),H26,NA())</f>
        <v/>
      </c>
      <c r="AA26" s="20">
        <f>IF(ISNUMBER(S26),S26,NA())</f>
        <v/>
      </c>
      <c r="AB26" s="21">
        <f>IF(ISNUMBER(S26),$C$10,NA())</f>
        <v/>
      </c>
    </row>
    <row r="27">
      <c r="A27" s="6" t="n"/>
      <c r="B27" s="11" t="n"/>
      <c r="C27" s="14" t="n"/>
      <c r="D27" s="15">
        <f>IF($C27="","",IF($B27="",$C$8,$B27))</f>
        <v/>
      </c>
      <c r="E27" s="16">
        <f>IF(OR($C27="",$C$12=""),"",D27*$C$12)</f>
        <v/>
      </c>
      <c r="F27" s="17">
        <f>IF(OR($C27="",$C$12=""),"",SQRT(D27*$C$12*(1-$C$12)))</f>
        <v/>
      </c>
      <c r="G27" s="16">
        <f>IF(OR($C27="",$C$12=""),"",E27+2*F27)</f>
        <v/>
      </c>
      <c r="H27" s="16">
        <f>IF(OR($C27="",$C$12=""),"",E27+3*F27)</f>
        <v/>
      </c>
      <c r="I27" s="17">
        <f>IF($C27="","",C27/D27*1000)</f>
        <v/>
      </c>
      <c r="J27" s="17">
        <f>IF(OR($C27="",$C$12=""),"",G27/D27*1000)</f>
        <v/>
      </c>
      <c r="K27" s="17">
        <f>IF(OR($C27="",$C$12=""),"",H27/D27*1000)</f>
        <v/>
      </c>
      <c r="L27" s="7">
        <f>IF(OR($C27="",$C$12=""),"",IF(C27&gt;G27,"Yes","No"))</f>
        <v/>
      </c>
      <c r="M27" s="7">
        <f>IF(OR($C27="",$C$12=""),"",IF(C27&gt;H27,"Yes","No"))</f>
        <v/>
      </c>
      <c r="N27" s="7">
        <f>IF(OR($C27="",$C$12=""),"",IF(COUNTIF(L25:L27,"Yes")&gt;=2,"Yes","No"))</f>
        <v/>
      </c>
      <c r="O27" s="18">
        <f>IF(OR($C27="",$C$12=""),"",IF(C27=0,1,1-_xlfn.BINOM.DIST(C27-1,D27,$C$12,TRUE)))</f>
        <v/>
      </c>
      <c r="P27" s="19">
        <f>IF(OR($C27="",$C$12=""),"",_xlfn.BINOM.INV(D27,$C$12,0.97725))</f>
        <v/>
      </c>
      <c r="Q27" s="19">
        <f>IF(OR($C27="",$C$12=""),"",_xlfn.BINOM.INV(D27,$C$12,0.99865))</f>
        <v/>
      </c>
      <c r="R27" s="17">
        <f>IF(OR($C27="",$C$12=""),"",(C27-E27)/F27)</f>
        <v/>
      </c>
      <c r="S27" s="17">
        <f>IF(OR($C27="",$C$12=""),"",MAX(0,IF(ISNUMBER(S26),S26,$C$11)+R27-$C$9))</f>
        <v/>
      </c>
      <c r="T27" s="7">
        <f>IF(OR($C27="",$C$12=""),"",IF(S27&gt;$C$10,"Yes","No"))</f>
        <v/>
      </c>
      <c r="U27" s="7">
        <f>IF(OR($C27="",$C$12=""),"",IF(M27="Yes","Beyond 3σ",IF(L27="Yes","Beyond 2σ","Within limits"))&amp;IF(N27="Yes","; 2 of 3 beyond 2σ",""))</f>
        <v/>
      </c>
      <c r="V27" s="7">
        <f>IF(OR($C27="",$C$12=""),"",IF(OR(M27="Yes",N27="Yes"),"Yes","No"))</f>
        <v/>
      </c>
      <c r="W27" s="20">
        <f>IF(ISNUMBER(C27),C27,NA())</f>
        <v/>
      </c>
      <c r="X27" s="20">
        <f>IF(ISNUMBER(E27),E27,NA())</f>
        <v/>
      </c>
      <c r="Y27" s="20">
        <f>IF(ISNUMBER(G27),G27,NA())</f>
        <v/>
      </c>
      <c r="Z27" s="20">
        <f>IF(ISNUMBER(H27),H27,NA())</f>
        <v/>
      </c>
      <c r="AA27" s="20">
        <f>IF(ISNUMBER(S27),S27,NA())</f>
        <v/>
      </c>
      <c r="AB27" s="21">
        <f>IF(ISNUMBER(S27),$C$10,NA())</f>
        <v/>
      </c>
    </row>
    <row r="28">
      <c r="A28" s="6" t="n"/>
      <c r="B28" s="11" t="n"/>
      <c r="C28" s="14" t="n"/>
      <c r="D28" s="15">
        <f>IF($C28="","",IF($B28="",$C$8,$B28))</f>
        <v/>
      </c>
      <c r="E28" s="16">
        <f>IF(OR($C28="",$C$12=""),"",D28*$C$12)</f>
        <v/>
      </c>
      <c r="F28" s="17">
        <f>IF(OR($C28="",$C$12=""),"",SQRT(D28*$C$12*(1-$C$12)))</f>
        <v/>
      </c>
      <c r="G28" s="16">
        <f>IF(OR($C28="",$C$12=""),"",E28+2*F28)</f>
        <v/>
      </c>
      <c r="H28" s="16">
        <f>IF(OR($C28="",$C$12=""),"",E28+3*F28)</f>
        <v/>
      </c>
      <c r="I28" s="17">
        <f>IF($C28="","",C28/D28*1000)</f>
        <v/>
      </c>
      <c r="J28" s="17">
        <f>IF(OR($C28="",$C$12=""),"",G28/D28*1000)</f>
        <v/>
      </c>
      <c r="K28" s="17">
        <f>IF(OR($C28="",$C$12=""),"",H28/D28*1000)</f>
        <v/>
      </c>
      <c r="L28" s="7">
        <f>IF(OR($C28="",$C$12=""),"",IF(C28&gt;G28,"Yes","No"))</f>
        <v/>
      </c>
      <c r="M28" s="7">
        <f>IF(OR($C28="",$C$12=""),"",IF(C28&gt;H28,"Yes","No"))</f>
        <v/>
      </c>
      <c r="N28" s="7">
        <f>IF(OR($C28="",$C$12=""),"",IF(COUNTIF(L26:L28,"Yes")&gt;=2,"Yes","No"))</f>
        <v/>
      </c>
      <c r="O28" s="18">
        <f>IF(OR($C28="",$C$12=""),"",IF(C28=0,1,1-_xlfn.BINOM.DIST(C28-1,D28,$C$12,TRUE)))</f>
        <v/>
      </c>
      <c r="P28" s="19">
        <f>IF(OR($C28="",$C$12=""),"",_xlfn.BINOM.INV(D28,$C$12,0.97725))</f>
        <v/>
      </c>
      <c r="Q28" s="19">
        <f>IF(OR($C28="",$C$12=""),"",_xlfn.BINOM.INV(D28,$C$12,0.99865))</f>
        <v/>
      </c>
      <c r="R28" s="17">
        <f>IF(OR($C28="",$C$12=""),"",(C28-E28)/F28)</f>
        <v/>
      </c>
      <c r="S28" s="17">
        <f>IF(OR($C28="",$C$12=""),"",MAX(0,IF(ISNUMBER(S27),S27,$C$11)+R28-$C$9))</f>
        <v/>
      </c>
      <c r="T28" s="7">
        <f>IF(OR($C28="",$C$12=""),"",IF(S28&gt;$C$10,"Yes","No"))</f>
        <v/>
      </c>
      <c r="U28" s="7">
        <f>IF(OR($C28="",$C$12=""),"",IF(M28="Yes","Beyond 3σ",IF(L28="Yes","Beyond 2σ","Within limits"))&amp;IF(N28="Yes","; 2 of 3 beyond 2σ",""))</f>
        <v/>
      </c>
      <c r="V28" s="7">
        <f>IF(OR($C28="",$C$12=""),"",IF(OR(M28="Yes",N28="Yes"),"Yes","No"))</f>
        <v/>
      </c>
      <c r="W28" s="20">
        <f>IF(ISNUMBER(C28),C28,NA())</f>
        <v/>
      </c>
      <c r="X28" s="20">
        <f>IF(ISNUMBER(E28),E28,NA())</f>
        <v/>
      </c>
      <c r="Y28" s="20">
        <f>IF(ISNUMBER(G28),G28,NA())</f>
        <v/>
      </c>
      <c r="Z28" s="20">
        <f>IF(ISNUMBER(H28),H28,NA())</f>
        <v/>
      </c>
      <c r="AA28" s="20">
        <f>IF(ISNUMBER(S28),S28,NA())</f>
        <v/>
      </c>
      <c r="AB28" s="21">
        <f>IF(ISNUMBER(S28),$C$10,NA())</f>
        <v/>
      </c>
    </row>
    <row r="29">
      <c r="A29" s="6" t="n"/>
      <c r="B29" s="11" t="n"/>
      <c r="C29" s="14" t="n"/>
      <c r="D29" s="15">
        <f>IF($C29="","",IF($B29="",$C$8,$B29))</f>
        <v/>
      </c>
      <c r="E29" s="16">
        <f>IF(OR($C29="",$C$12=""),"",D29*$C$12)</f>
        <v/>
      </c>
      <c r="F29" s="17">
        <f>IF(OR($C29="",$C$12=""),"",SQRT(D29*$C$12*(1-$C$12)))</f>
        <v/>
      </c>
      <c r="G29" s="16">
        <f>IF(OR($C29="",$C$12=""),"",E29+2*F29)</f>
        <v/>
      </c>
      <c r="H29" s="16">
        <f>IF(OR($C29="",$C$12=""),"",E29+3*F29)</f>
        <v/>
      </c>
      <c r="I29" s="17">
        <f>IF($C29="","",C29/D29*1000)</f>
        <v/>
      </c>
      <c r="J29" s="17">
        <f>IF(OR($C29="",$C$12=""),"",G29/D29*1000)</f>
        <v/>
      </c>
      <c r="K29" s="17">
        <f>IF(OR($C29="",$C$12=""),"",H29/D29*1000)</f>
        <v/>
      </c>
      <c r="L29" s="7">
        <f>IF(OR($C29="",$C$12=""),"",IF(C29&gt;G29,"Yes","No"))</f>
        <v/>
      </c>
      <c r="M29" s="7">
        <f>IF(OR($C29="",$C$12=""),"",IF(C29&gt;H29,"Yes","No"))</f>
        <v/>
      </c>
      <c r="N29" s="7">
        <f>IF(OR($C29="",$C$12=""),"",IF(COUNTIF(L27:L29,"Yes")&gt;=2,"Yes","No"))</f>
        <v/>
      </c>
      <c r="O29" s="18">
        <f>IF(OR($C29="",$C$12=""),"",IF(C29=0,1,1-_xlfn.BINOM.DIST(C29-1,D29,$C$12,TRUE)))</f>
        <v/>
      </c>
      <c r="P29" s="19">
        <f>IF(OR($C29="",$C$12=""),"",_xlfn.BINOM.INV(D29,$C$12,0.97725))</f>
        <v/>
      </c>
      <c r="Q29" s="19">
        <f>IF(OR($C29="",$C$12=""),"",_xlfn.BINOM.INV(D29,$C$12,0.99865))</f>
        <v/>
      </c>
      <c r="R29" s="17">
        <f>IF(OR($C29="",$C$12=""),"",(C29-E29)/F29)</f>
        <v/>
      </c>
      <c r="S29" s="17">
        <f>IF(OR($C29="",$C$12=""),"",MAX(0,IF(ISNUMBER(S28),S28,$C$11)+R29-$C$9))</f>
        <v/>
      </c>
      <c r="T29" s="7">
        <f>IF(OR($C29="",$C$12=""),"",IF(S29&gt;$C$10,"Yes","No"))</f>
        <v/>
      </c>
      <c r="U29" s="7">
        <f>IF(OR($C29="",$C$12=""),"",IF(M29="Yes","Beyond 3σ",IF(L29="Yes","Beyond 2σ","Within limits"))&amp;IF(N29="Yes","; 2 of 3 beyond 2σ",""))</f>
        <v/>
      </c>
      <c r="V29" s="7">
        <f>IF(OR($C29="",$C$12=""),"",IF(OR(M29="Yes",N29="Yes"),"Yes","No"))</f>
        <v/>
      </c>
      <c r="W29" s="20">
        <f>IF(ISNUMBER(C29),C29,NA())</f>
        <v/>
      </c>
      <c r="X29" s="20">
        <f>IF(ISNUMBER(E29),E29,NA())</f>
        <v/>
      </c>
      <c r="Y29" s="20">
        <f>IF(ISNUMBER(G29),G29,NA())</f>
        <v/>
      </c>
      <c r="Z29" s="20">
        <f>IF(ISNUMBER(H29),H29,NA())</f>
        <v/>
      </c>
      <c r="AA29" s="20">
        <f>IF(ISNUMBER(S29),S29,NA())</f>
        <v/>
      </c>
      <c r="AB29" s="21">
        <f>IF(ISNUMBER(S29),$C$10,NA())</f>
        <v/>
      </c>
    </row>
    <row r="30">
      <c r="A30" s="6" t="n"/>
      <c r="B30" s="11" t="n"/>
      <c r="C30" s="14" t="n"/>
      <c r="D30" s="15">
        <f>IF($C30="","",IF($B30="",$C$8,$B30))</f>
        <v/>
      </c>
      <c r="E30" s="16">
        <f>IF(OR($C30="",$C$12=""),"",D30*$C$12)</f>
        <v/>
      </c>
      <c r="F30" s="17">
        <f>IF(OR($C30="",$C$12=""),"",SQRT(D30*$C$12*(1-$C$12)))</f>
        <v/>
      </c>
      <c r="G30" s="16">
        <f>IF(OR($C30="",$C$12=""),"",E30+2*F30)</f>
        <v/>
      </c>
      <c r="H30" s="16">
        <f>IF(OR($C30="",$C$12=""),"",E30+3*F30)</f>
        <v/>
      </c>
      <c r="I30" s="17">
        <f>IF($C30="","",C30/D30*1000)</f>
        <v/>
      </c>
      <c r="J30" s="17">
        <f>IF(OR($C30="",$C$12=""),"",G30/D30*1000)</f>
        <v/>
      </c>
      <c r="K30" s="17">
        <f>IF(OR($C30="",$C$12=""),"",H30/D30*1000)</f>
        <v/>
      </c>
      <c r="L30" s="7">
        <f>IF(OR($C30="",$C$12=""),"",IF(C30&gt;G30,"Yes","No"))</f>
        <v/>
      </c>
      <c r="M30" s="7">
        <f>IF(OR($C30="",$C$12=""),"",IF(C30&gt;H30,"Yes","No"))</f>
        <v/>
      </c>
      <c r="N30" s="7">
        <f>IF(OR($C30="",$C$12=""),"",IF(COUNTIF(L28:L30,"Yes")&gt;=2,"Yes","No"))</f>
        <v/>
      </c>
      <c r="O30" s="18">
        <f>IF(OR($C30="",$C$12=""),"",IF(C30=0,1,1-_xlfn.BINOM.DIST(C30-1,D30,$C$12,TRUE)))</f>
        <v/>
      </c>
      <c r="P30" s="19">
        <f>IF(OR($C30="",$C$12=""),"",_xlfn.BINOM.INV(D30,$C$12,0.97725))</f>
        <v/>
      </c>
      <c r="Q30" s="19">
        <f>IF(OR($C30="",$C$12=""),"",_xlfn.BINOM.INV(D30,$C$12,0.99865))</f>
        <v/>
      </c>
      <c r="R30" s="17">
        <f>IF(OR($C30="",$C$12=""),"",(C30-E30)/F30)</f>
        <v/>
      </c>
      <c r="S30" s="17">
        <f>IF(OR($C30="",$C$12=""),"",MAX(0,IF(ISNUMBER(S29),S29,$C$11)+R30-$C$9))</f>
        <v/>
      </c>
      <c r="T30" s="7">
        <f>IF(OR($C30="",$C$12=""),"",IF(S30&gt;$C$10,"Yes","No"))</f>
        <v/>
      </c>
      <c r="U30" s="7">
        <f>IF(OR($C30="",$C$12=""),"",IF(M30="Yes","Beyond 3σ",IF(L30="Yes","Beyond 2σ","Within limits"))&amp;IF(N30="Yes","; 2 of 3 beyond 2σ",""))</f>
        <v/>
      </c>
      <c r="V30" s="7">
        <f>IF(OR($C30="",$C$12=""),"",IF(OR(M30="Yes",N30="Yes"),"Yes","No"))</f>
        <v/>
      </c>
      <c r="W30" s="20">
        <f>IF(ISNUMBER(C30),C30,NA())</f>
        <v/>
      </c>
      <c r="X30" s="20">
        <f>IF(ISNUMBER(E30),E30,NA())</f>
        <v/>
      </c>
      <c r="Y30" s="20">
        <f>IF(ISNUMBER(G30),G30,NA())</f>
        <v/>
      </c>
      <c r="Z30" s="20">
        <f>IF(ISNUMBER(H30),H30,NA())</f>
        <v/>
      </c>
      <c r="AA30" s="20">
        <f>IF(ISNUMBER(S30),S30,NA())</f>
        <v/>
      </c>
      <c r="AB30" s="21">
        <f>IF(ISNUMBER(S30),$C$10,NA())</f>
        <v/>
      </c>
    </row>
    <row r="31">
      <c r="A31" s="6" t="n"/>
      <c r="B31" s="11" t="n"/>
      <c r="C31" s="14" t="n"/>
      <c r="D31" s="15">
        <f>IF($C31="","",IF($B31="",$C$8,$B31))</f>
        <v/>
      </c>
      <c r="E31" s="16">
        <f>IF(OR($C31="",$C$12=""),"",D31*$C$12)</f>
        <v/>
      </c>
      <c r="F31" s="17">
        <f>IF(OR($C31="",$C$12=""),"",SQRT(D31*$C$12*(1-$C$12)))</f>
        <v/>
      </c>
      <c r="G31" s="16">
        <f>IF(OR($C31="",$C$12=""),"",E31+2*F31)</f>
        <v/>
      </c>
      <c r="H31" s="16">
        <f>IF(OR($C31="",$C$12=""),"",E31+3*F31)</f>
        <v/>
      </c>
      <c r="I31" s="17">
        <f>IF($C31="","",C31/D31*1000)</f>
        <v/>
      </c>
      <c r="J31" s="17">
        <f>IF(OR($C31="",$C$12=""),"",G31/D31*1000)</f>
        <v/>
      </c>
      <c r="K31" s="17">
        <f>IF(OR($C31="",$C$12=""),"",H31/D31*1000)</f>
        <v/>
      </c>
      <c r="L31" s="7">
        <f>IF(OR($C31="",$C$12=""),"",IF(C31&gt;G31,"Yes","No"))</f>
        <v/>
      </c>
      <c r="M31" s="7">
        <f>IF(OR($C31="",$C$12=""),"",IF(C31&gt;H31,"Yes","No"))</f>
        <v/>
      </c>
      <c r="N31" s="7">
        <f>IF(OR($C31="",$C$12=""),"",IF(COUNTIF(L29:L31,"Yes")&gt;=2,"Yes","No"))</f>
        <v/>
      </c>
      <c r="O31" s="18">
        <f>IF(OR($C31="",$C$12=""),"",IF(C31=0,1,1-_xlfn.BINOM.DIST(C31-1,D31,$C$12,TRUE)))</f>
        <v/>
      </c>
      <c r="P31" s="19">
        <f>IF(OR($C31="",$C$12=""),"",_xlfn.BINOM.INV(D31,$C$12,0.97725))</f>
        <v/>
      </c>
      <c r="Q31" s="19">
        <f>IF(OR($C31="",$C$12=""),"",_xlfn.BINOM.INV(D31,$C$12,0.99865))</f>
        <v/>
      </c>
      <c r="R31" s="17">
        <f>IF(OR($C31="",$C$12=""),"",(C31-E31)/F31)</f>
        <v/>
      </c>
      <c r="S31" s="17">
        <f>IF(OR($C31="",$C$12=""),"",MAX(0,IF(ISNUMBER(S30),S30,$C$11)+R31-$C$9))</f>
        <v/>
      </c>
      <c r="T31" s="7">
        <f>IF(OR($C31="",$C$12=""),"",IF(S31&gt;$C$10,"Yes","No"))</f>
        <v/>
      </c>
      <c r="U31" s="7">
        <f>IF(OR($C31="",$C$12=""),"",IF(M31="Yes","Beyond 3σ",IF(L31="Yes","Beyond 2σ","Within limits"))&amp;IF(N31="Yes","; 2 of 3 beyond 2σ",""))</f>
        <v/>
      </c>
      <c r="V31" s="7">
        <f>IF(OR($C31="",$C$12=""),"",IF(OR(M31="Yes",N31="Yes"),"Yes","No"))</f>
        <v/>
      </c>
      <c r="W31" s="20">
        <f>IF(ISNUMBER(C31),C31,NA())</f>
        <v/>
      </c>
      <c r="X31" s="20">
        <f>IF(ISNUMBER(E31),E31,NA())</f>
        <v/>
      </c>
      <c r="Y31" s="20">
        <f>IF(ISNUMBER(G31),G31,NA())</f>
        <v/>
      </c>
      <c r="Z31" s="20">
        <f>IF(ISNUMBER(H31),H31,NA())</f>
        <v/>
      </c>
      <c r="AA31" s="20">
        <f>IF(ISNUMBER(S31),S31,NA())</f>
        <v/>
      </c>
      <c r="AB31" s="21">
        <f>IF(ISNUMBER(S31),$C$10,NA())</f>
        <v/>
      </c>
    </row>
    <row r="32">
      <c r="A32" s="6" t="n"/>
      <c r="B32" s="11" t="n"/>
      <c r="C32" s="14" t="n"/>
      <c r="D32" s="15">
        <f>IF($C32="","",IF($B32="",$C$8,$B32))</f>
        <v/>
      </c>
      <c r="E32" s="16">
        <f>IF(OR($C32="",$C$12=""),"",D32*$C$12)</f>
        <v/>
      </c>
      <c r="F32" s="17">
        <f>IF(OR($C32="",$C$12=""),"",SQRT(D32*$C$12*(1-$C$12)))</f>
        <v/>
      </c>
      <c r="G32" s="16">
        <f>IF(OR($C32="",$C$12=""),"",E32+2*F32)</f>
        <v/>
      </c>
      <c r="H32" s="16">
        <f>IF(OR($C32="",$C$12=""),"",E32+3*F32)</f>
        <v/>
      </c>
      <c r="I32" s="17">
        <f>IF($C32="","",C32/D32*1000)</f>
        <v/>
      </c>
      <c r="J32" s="17">
        <f>IF(OR($C32="",$C$12=""),"",G32/D32*1000)</f>
        <v/>
      </c>
      <c r="K32" s="17">
        <f>IF(OR($C32="",$C$12=""),"",H32/D32*1000)</f>
        <v/>
      </c>
      <c r="L32" s="7">
        <f>IF(OR($C32="",$C$12=""),"",IF(C32&gt;G32,"Yes","No"))</f>
        <v/>
      </c>
      <c r="M32" s="7">
        <f>IF(OR($C32="",$C$12=""),"",IF(C32&gt;H32,"Yes","No"))</f>
        <v/>
      </c>
      <c r="N32" s="7">
        <f>IF(OR($C32="",$C$12=""),"",IF(COUNTIF(L30:L32,"Yes")&gt;=2,"Yes","No"))</f>
        <v/>
      </c>
      <c r="O32" s="18">
        <f>IF(OR($C32="",$C$12=""),"",IF(C32=0,1,1-_xlfn.BINOM.DIST(C32-1,D32,$C$12,TRUE)))</f>
        <v/>
      </c>
      <c r="P32" s="19">
        <f>IF(OR($C32="",$C$12=""),"",_xlfn.BINOM.INV(D32,$C$12,0.97725))</f>
        <v/>
      </c>
      <c r="Q32" s="19">
        <f>IF(OR($C32="",$C$12=""),"",_xlfn.BINOM.INV(D32,$C$12,0.99865))</f>
        <v/>
      </c>
      <c r="R32" s="17">
        <f>IF(OR($C32="",$C$12=""),"",(C32-E32)/F32)</f>
        <v/>
      </c>
      <c r="S32" s="17">
        <f>IF(OR($C32="",$C$12=""),"",MAX(0,IF(ISNUMBER(S31),S31,$C$11)+R32-$C$9))</f>
        <v/>
      </c>
      <c r="T32" s="7">
        <f>IF(OR($C32="",$C$12=""),"",IF(S32&gt;$C$10,"Yes","No"))</f>
        <v/>
      </c>
      <c r="U32" s="7">
        <f>IF(OR($C32="",$C$12=""),"",IF(M32="Yes","Beyond 3σ",IF(L32="Yes","Beyond 2σ","Within limits"))&amp;IF(N32="Yes","; 2 of 3 beyond 2σ",""))</f>
        <v/>
      </c>
      <c r="V32" s="7">
        <f>IF(OR($C32="",$C$12=""),"",IF(OR(M32="Yes",N32="Yes"),"Yes","No"))</f>
        <v/>
      </c>
      <c r="W32" s="20">
        <f>IF(ISNUMBER(C32),C32,NA())</f>
        <v/>
      </c>
      <c r="X32" s="20">
        <f>IF(ISNUMBER(E32),E32,NA())</f>
        <v/>
      </c>
      <c r="Y32" s="20">
        <f>IF(ISNUMBER(G32),G32,NA())</f>
        <v/>
      </c>
      <c r="Z32" s="20">
        <f>IF(ISNUMBER(H32),H32,NA())</f>
        <v/>
      </c>
      <c r="AA32" s="20">
        <f>IF(ISNUMBER(S32),S32,NA())</f>
        <v/>
      </c>
      <c r="AB32" s="21">
        <f>IF(ISNUMBER(S32),$C$10,NA())</f>
        <v/>
      </c>
    </row>
    <row r="33">
      <c r="A33" s="6" t="n"/>
      <c r="B33" s="11" t="n"/>
      <c r="C33" s="14" t="n"/>
      <c r="D33" s="15">
        <f>IF($C33="","",IF($B33="",$C$8,$B33))</f>
        <v/>
      </c>
      <c r="E33" s="16">
        <f>IF(OR($C33="",$C$12=""),"",D33*$C$12)</f>
        <v/>
      </c>
      <c r="F33" s="17">
        <f>IF(OR($C33="",$C$12=""),"",SQRT(D33*$C$12*(1-$C$12)))</f>
        <v/>
      </c>
      <c r="G33" s="16">
        <f>IF(OR($C33="",$C$12=""),"",E33+2*F33)</f>
        <v/>
      </c>
      <c r="H33" s="16">
        <f>IF(OR($C33="",$C$12=""),"",E33+3*F33)</f>
        <v/>
      </c>
      <c r="I33" s="17">
        <f>IF($C33="","",C33/D33*1000)</f>
        <v/>
      </c>
      <c r="J33" s="17">
        <f>IF(OR($C33="",$C$12=""),"",G33/D33*1000)</f>
        <v/>
      </c>
      <c r="K33" s="17">
        <f>IF(OR($C33="",$C$12=""),"",H33/D33*1000)</f>
        <v/>
      </c>
      <c r="L33" s="7">
        <f>IF(OR($C33="",$C$12=""),"",IF(C33&gt;G33,"Yes","No"))</f>
        <v/>
      </c>
      <c r="M33" s="7">
        <f>IF(OR($C33="",$C$12=""),"",IF(C33&gt;H33,"Yes","No"))</f>
        <v/>
      </c>
      <c r="N33" s="7">
        <f>IF(OR($C33="",$C$12=""),"",IF(COUNTIF(L31:L33,"Yes")&gt;=2,"Yes","No"))</f>
        <v/>
      </c>
      <c r="O33" s="18">
        <f>IF(OR($C33="",$C$12=""),"",IF(C33=0,1,1-_xlfn.BINOM.DIST(C33-1,D33,$C$12,TRUE)))</f>
        <v/>
      </c>
      <c r="P33" s="19">
        <f>IF(OR($C33="",$C$12=""),"",_xlfn.BINOM.INV(D33,$C$12,0.97725))</f>
        <v/>
      </c>
      <c r="Q33" s="19">
        <f>IF(OR($C33="",$C$12=""),"",_xlfn.BINOM.INV(D33,$C$12,0.99865))</f>
        <v/>
      </c>
      <c r="R33" s="17">
        <f>IF(OR($C33="",$C$12=""),"",(C33-E33)/F33)</f>
        <v/>
      </c>
      <c r="S33" s="17">
        <f>IF(OR($C33="",$C$12=""),"",MAX(0,IF(ISNUMBER(S32),S32,$C$11)+R33-$C$9))</f>
        <v/>
      </c>
      <c r="T33" s="7">
        <f>IF(OR($C33="",$C$12=""),"",IF(S33&gt;$C$10,"Yes","No"))</f>
        <v/>
      </c>
      <c r="U33" s="7">
        <f>IF(OR($C33="",$C$12=""),"",IF(M33="Yes","Beyond 3σ",IF(L33="Yes","Beyond 2σ","Within limits"))&amp;IF(N33="Yes","; 2 of 3 beyond 2σ",""))</f>
        <v/>
      </c>
      <c r="V33" s="7">
        <f>IF(OR($C33="",$C$12=""),"",IF(OR(M33="Yes",N33="Yes"),"Yes","No"))</f>
        <v/>
      </c>
      <c r="W33" s="20">
        <f>IF(ISNUMBER(C33),C33,NA())</f>
        <v/>
      </c>
      <c r="X33" s="20">
        <f>IF(ISNUMBER(E33),E33,NA())</f>
        <v/>
      </c>
      <c r="Y33" s="20">
        <f>IF(ISNUMBER(G33),G33,NA())</f>
        <v/>
      </c>
      <c r="Z33" s="20">
        <f>IF(ISNUMBER(H33),H33,NA())</f>
        <v/>
      </c>
      <c r="AA33" s="20">
        <f>IF(ISNUMBER(S33),S33,NA())</f>
        <v/>
      </c>
      <c r="AB33" s="21">
        <f>IF(ISNUMBER(S33),$C$10,NA())</f>
        <v/>
      </c>
    </row>
    <row r="34">
      <c r="A34" s="6" t="n"/>
      <c r="B34" s="11" t="n"/>
      <c r="C34" s="14" t="n"/>
      <c r="D34" s="15">
        <f>IF($C34="","",IF($B34="",$C$8,$B34))</f>
        <v/>
      </c>
      <c r="E34" s="16">
        <f>IF(OR($C34="",$C$12=""),"",D34*$C$12)</f>
        <v/>
      </c>
      <c r="F34" s="17">
        <f>IF(OR($C34="",$C$12=""),"",SQRT(D34*$C$12*(1-$C$12)))</f>
        <v/>
      </c>
      <c r="G34" s="16">
        <f>IF(OR($C34="",$C$12=""),"",E34+2*F34)</f>
        <v/>
      </c>
      <c r="H34" s="16">
        <f>IF(OR($C34="",$C$12=""),"",E34+3*F34)</f>
        <v/>
      </c>
      <c r="I34" s="17">
        <f>IF($C34="","",C34/D34*1000)</f>
        <v/>
      </c>
      <c r="J34" s="17">
        <f>IF(OR($C34="",$C$12=""),"",G34/D34*1000)</f>
        <v/>
      </c>
      <c r="K34" s="17">
        <f>IF(OR($C34="",$C$12=""),"",H34/D34*1000)</f>
        <v/>
      </c>
      <c r="L34" s="7">
        <f>IF(OR($C34="",$C$12=""),"",IF(C34&gt;G34,"Yes","No"))</f>
        <v/>
      </c>
      <c r="M34" s="7">
        <f>IF(OR($C34="",$C$12=""),"",IF(C34&gt;H34,"Yes","No"))</f>
        <v/>
      </c>
      <c r="N34" s="7">
        <f>IF(OR($C34="",$C$12=""),"",IF(COUNTIF(L32:L34,"Yes")&gt;=2,"Yes","No"))</f>
        <v/>
      </c>
      <c r="O34" s="18">
        <f>IF(OR($C34="",$C$12=""),"",IF(C34=0,1,1-_xlfn.BINOM.DIST(C34-1,D34,$C$12,TRUE)))</f>
        <v/>
      </c>
      <c r="P34" s="19">
        <f>IF(OR($C34="",$C$12=""),"",_xlfn.BINOM.INV(D34,$C$12,0.97725))</f>
        <v/>
      </c>
      <c r="Q34" s="19">
        <f>IF(OR($C34="",$C$12=""),"",_xlfn.BINOM.INV(D34,$C$12,0.99865))</f>
        <v/>
      </c>
      <c r="R34" s="17">
        <f>IF(OR($C34="",$C$12=""),"",(C34-E34)/F34)</f>
        <v/>
      </c>
      <c r="S34" s="17">
        <f>IF(OR($C34="",$C$12=""),"",MAX(0,IF(ISNUMBER(S33),S33,$C$11)+R34-$C$9))</f>
        <v/>
      </c>
      <c r="T34" s="7">
        <f>IF(OR($C34="",$C$12=""),"",IF(S34&gt;$C$10,"Yes","No"))</f>
        <v/>
      </c>
      <c r="U34" s="7">
        <f>IF(OR($C34="",$C$12=""),"",IF(M34="Yes","Beyond 3σ",IF(L34="Yes","Beyond 2σ","Within limits"))&amp;IF(N34="Yes","; 2 of 3 beyond 2σ",""))</f>
        <v/>
      </c>
      <c r="V34" s="7">
        <f>IF(OR($C34="",$C$12=""),"",IF(OR(M34="Yes",N34="Yes"),"Yes","No"))</f>
        <v/>
      </c>
      <c r="W34" s="20">
        <f>IF(ISNUMBER(C34),C34,NA())</f>
        <v/>
      </c>
      <c r="X34" s="20">
        <f>IF(ISNUMBER(E34),E34,NA())</f>
        <v/>
      </c>
      <c r="Y34" s="20">
        <f>IF(ISNUMBER(G34),G34,NA())</f>
        <v/>
      </c>
      <c r="Z34" s="20">
        <f>IF(ISNUMBER(H34),H34,NA())</f>
        <v/>
      </c>
      <c r="AA34" s="20">
        <f>IF(ISNUMBER(S34),S34,NA())</f>
        <v/>
      </c>
      <c r="AB34" s="21">
        <f>IF(ISNUMBER(S34),$C$10,NA())</f>
        <v/>
      </c>
    </row>
    <row r="35">
      <c r="A35" s="6" t="n"/>
      <c r="B35" s="11" t="n"/>
      <c r="C35" s="14" t="n"/>
      <c r="D35" s="15">
        <f>IF($C35="","",IF($B35="",$C$8,$B35))</f>
        <v/>
      </c>
      <c r="E35" s="16">
        <f>IF(OR($C35="",$C$12=""),"",D35*$C$12)</f>
        <v/>
      </c>
      <c r="F35" s="17">
        <f>IF(OR($C35="",$C$12=""),"",SQRT(D35*$C$12*(1-$C$12)))</f>
        <v/>
      </c>
      <c r="G35" s="16">
        <f>IF(OR($C35="",$C$12=""),"",E35+2*F35)</f>
        <v/>
      </c>
      <c r="H35" s="16">
        <f>IF(OR($C35="",$C$12=""),"",E35+3*F35)</f>
        <v/>
      </c>
      <c r="I35" s="17">
        <f>IF($C35="","",C35/D35*1000)</f>
        <v/>
      </c>
      <c r="J35" s="17">
        <f>IF(OR($C35="",$C$12=""),"",G35/D35*1000)</f>
        <v/>
      </c>
      <c r="K35" s="17">
        <f>IF(OR($C35="",$C$12=""),"",H35/D35*1000)</f>
        <v/>
      </c>
      <c r="L35" s="7">
        <f>IF(OR($C35="",$C$12=""),"",IF(C35&gt;G35,"Yes","No"))</f>
        <v/>
      </c>
      <c r="M35" s="7">
        <f>IF(OR($C35="",$C$12=""),"",IF(C35&gt;H35,"Yes","No"))</f>
        <v/>
      </c>
      <c r="N35" s="7">
        <f>IF(OR($C35="",$C$12=""),"",IF(COUNTIF(L33:L35,"Yes")&gt;=2,"Yes","No"))</f>
        <v/>
      </c>
      <c r="O35" s="18">
        <f>IF(OR($C35="",$C$12=""),"",IF(C35=0,1,1-_xlfn.BINOM.DIST(C35-1,D35,$C$12,TRUE)))</f>
        <v/>
      </c>
      <c r="P35" s="19">
        <f>IF(OR($C35="",$C$12=""),"",_xlfn.BINOM.INV(D35,$C$12,0.97725))</f>
        <v/>
      </c>
      <c r="Q35" s="19">
        <f>IF(OR($C35="",$C$12=""),"",_xlfn.BINOM.INV(D35,$C$12,0.99865))</f>
        <v/>
      </c>
      <c r="R35" s="17">
        <f>IF(OR($C35="",$C$12=""),"",(C35-E35)/F35)</f>
        <v/>
      </c>
      <c r="S35" s="17">
        <f>IF(OR($C35="",$C$12=""),"",MAX(0,IF(ISNUMBER(S34),S34,$C$11)+R35-$C$9))</f>
        <v/>
      </c>
      <c r="T35" s="7">
        <f>IF(OR($C35="",$C$12=""),"",IF(S35&gt;$C$10,"Yes","No"))</f>
        <v/>
      </c>
      <c r="U35" s="7">
        <f>IF(OR($C35="",$C$12=""),"",IF(M35="Yes","Beyond 3σ",IF(L35="Yes","Beyond 2σ","Within limits"))&amp;IF(N35="Yes","; 2 of 3 beyond 2σ",""))</f>
        <v/>
      </c>
      <c r="V35" s="7">
        <f>IF(OR($C35="",$C$12=""),"",IF(OR(M35="Yes",N35="Yes"),"Yes","No"))</f>
        <v/>
      </c>
      <c r="W35" s="20">
        <f>IF(ISNUMBER(C35),C35,NA())</f>
        <v/>
      </c>
      <c r="X35" s="20">
        <f>IF(ISNUMBER(E35),E35,NA())</f>
        <v/>
      </c>
      <c r="Y35" s="20">
        <f>IF(ISNUMBER(G35),G35,NA())</f>
        <v/>
      </c>
      <c r="Z35" s="20">
        <f>IF(ISNUMBER(H35),H35,NA())</f>
        <v/>
      </c>
      <c r="AA35" s="20">
        <f>IF(ISNUMBER(S35),S35,NA())</f>
        <v/>
      </c>
      <c r="AB35" s="21">
        <f>IF(ISNUMBER(S35),$C$10,NA())</f>
        <v/>
      </c>
    </row>
    <row r="36">
      <c r="A36" s="6" t="n"/>
      <c r="B36" s="11" t="n"/>
      <c r="C36" s="14" t="n"/>
      <c r="D36" s="15">
        <f>IF($C36="","",IF($B36="",$C$8,$B36))</f>
        <v/>
      </c>
      <c r="E36" s="16">
        <f>IF(OR($C36="",$C$12=""),"",D36*$C$12)</f>
        <v/>
      </c>
      <c r="F36" s="17">
        <f>IF(OR($C36="",$C$12=""),"",SQRT(D36*$C$12*(1-$C$12)))</f>
        <v/>
      </c>
      <c r="G36" s="16">
        <f>IF(OR($C36="",$C$12=""),"",E36+2*F36)</f>
        <v/>
      </c>
      <c r="H36" s="16">
        <f>IF(OR($C36="",$C$12=""),"",E36+3*F36)</f>
        <v/>
      </c>
      <c r="I36" s="17">
        <f>IF($C36="","",C36/D36*1000)</f>
        <v/>
      </c>
      <c r="J36" s="17">
        <f>IF(OR($C36="",$C$12=""),"",G36/D36*1000)</f>
        <v/>
      </c>
      <c r="K36" s="17">
        <f>IF(OR($C36="",$C$12=""),"",H36/D36*1000)</f>
        <v/>
      </c>
      <c r="L36" s="7">
        <f>IF(OR($C36="",$C$12=""),"",IF(C36&gt;G36,"Yes","No"))</f>
        <v/>
      </c>
      <c r="M36" s="7">
        <f>IF(OR($C36="",$C$12=""),"",IF(C36&gt;H36,"Yes","No"))</f>
        <v/>
      </c>
      <c r="N36" s="7">
        <f>IF(OR($C36="",$C$12=""),"",IF(COUNTIF(L34:L36,"Yes")&gt;=2,"Yes","No"))</f>
        <v/>
      </c>
      <c r="O36" s="18">
        <f>IF(OR($C36="",$C$12=""),"",IF(C36=0,1,1-_xlfn.BINOM.DIST(C36-1,D36,$C$12,TRUE)))</f>
        <v/>
      </c>
      <c r="P36" s="19">
        <f>IF(OR($C36="",$C$12=""),"",_xlfn.BINOM.INV(D36,$C$12,0.97725))</f>
        <v/>
      </c>
      <c r="Q36" s="19">
        <f>IF(OR($C36="",$C$12=""),"",_xlfn.BINOM.INV(D36,$C$12,0.99865))</f>
        <v/>
      </c>
      <c r="R36" s="17">
        <f>IF(OR($C36="",$C$12=""),"",(C36-E36)/F36)</f>
        <v/>
      </c>
      <c r="S36" s="17">
        <f>IF(OR($C36="",$C$12=""),"",MAX(0,IF(ISNUMBER(S35),S35,$C$11)+R36-$C$9))</f>
        <v/>
      </c>
      <c r="T36" s="7">
        <f>IF(OR($C36="",$C$12=""),"",IF(S36&gt;$C$10,"Yes","No"))</f>
        <v/>
      </c>
      <c r="U36" s="7">
        <f>IF(OR($C36="",$C$12=""),"",IF(M36="Yes","Beyond 3σ",IF(L36="Yes","Beyond 2σ","Within limits"))&amp;IF(N36="Yes","; 2 of 3 beyond 2σ",""))</f>
        <v/>
      </c>
      <c r="V36" s="7">
        <f>IF(OR($C36="",$C$12=""),"",IF(OR(M36="Yes",N36="Yes"),"Yes","No"))</f>
        <v/>
      </c>
      <c r="W36" s="20">
        <f>IF(ISNUMBER(C36),C36,NA())</f>
        <v/>
      </c>
      <c r="X36" s="20">
        <f>IF(ISNUMBER(E36),E36,NA())</f>
        <v/>
      </c>
      <c r="Y36" s="20">
        <f>IF(ISNUMBER(G36),G36,NA())</f>
        <v/>
      </c>
      <c r="Z36" s="20">
        <f>IF(ISNUMBER(H36),H36,NA())</f>
        <v/>
      </c>
      <c r="AA36" s="20">
        <f>IF(ISNUMBER(S36),S36,NA())</f>
        <v/>
      </c>
      <c r="AB36" s="21">
        <f>IF(ISNUMBER(S36),$C$10,NA())</f>
        <v/>
      </c>
    </row>
    <row r="37">
      <c r="A37" s="6" t="n"/>
      <c r="B37" s="11" t="n"/>
      <c r="C37" s="14" t="n"/>
      <c r="D37" s="15">
        <f>IF($C37="","",IF($B37="",$C$8,$B37))</f>
        <v/>
      </c>
      <c r="E37" s="16">
        <f>IF(OR($C37="",$C$12=""),"",D37*$C$12)</f>
        <v/>
      </c>
      <c r="F37" s="17">
        <f>IF(OR($C37="",$C$12=""),"",SQRT(D37*$C$12*(1-$C$12)))</f>
        <v/>
      </c>
      <c r="G37" s="16">
        <f>IF(OR($C37="",$C$12=""),"",E37+2*F37)</f>
        <v/>
      </c>
      <c r="H37" s="16">
        <f>IF(OR($C37="",$C$12=""),"",E37+3*F37)</f>
        <v/>
      </c>
      <c r="I37" s="17">
        <f>IF($C37="","",C37/D37*1000)</f>
        <v/>
      </c>
      <c r="J37" s="17">
        <f>IF(OR($C37="",$C$12=""),"",G37/D37*1000)</f>
        <v/>
      </c>
      <c r="K37" s="17">
        <f>IF(OR($C37="",$C$12=""),"",H37/D37*1000)</f>
        <v/>
      </c>
      <c r="L37" s="7">
        <f>IF(OR($C37="",$C$12=""),"",IF(C37&gt;G37,"Yes","No"))</f>
        <v/>
      </c>
      <c r="M37" s="7">
        <f>IF(OR($C37="",$C$12=""),"",IF(C37&gt;H37,"Yes","No"))</f>
        <v/>
      </c>
      <c r="N37" s="7">
        <f>IF(OR($C37="",$C$12=""),"",IF(COUNTIF(L35:L37,"Yes")&gt;=2,"Yes","No"))</f>
        <v/>
      </c>
      <c r="O37" s="18">
        <f>IF(OR($C37="",$C$12=""),"",IF(C37=0,1,1-_xlfn.BINOM.DIST(C37-1,D37,$C$12,TRUE)))</f>
        <v/>
      </c>
      <c r="P37" s="19">
        <f>IF(OR($C37="",$C$12=""),"",_xlfn.BINOM.INV(D37,$C$12,0.97725))</f>
        <v/>
      </c>
      <c r="Q37" s="19">
        <f>IF(OR($C37="",$C$12=""),"",_xlfn.BINOM.INV(D37,$C$12,0.99865))</f>
        <v/>
      </c>
      <c r="R37" s="17">
        <f>IF(OR($C37="",$C$12=""),"",(C37-E37)/F37)</f>
        <v/>
      </c>
      <c r="S37" s="17">
        <f>IF(OR($C37="",$C$12=""),"",MAX(0,IF(ISNUMBER(S36),S36,$C$11)+R37-$C$9))</f>
        <v/>
      </c>
      <c r="T37" s="7">
        <f>IF(OR($C37="",$C$12=""),"",IF(S37&gt;$C$10,"Yes","No"))</f>
        <v/>
      </c>
      <c r="U37" s="7">
        <f>IF(OR($C37="",$C$12=""),"",IF(M37="Yes","Beyond 3σ",IF(L37="Yes","Beyond 2σ","Within limits"))&amp;IF(N37="Yes","; 2 of 3 beyond 2σ",""))</f>
        <v/>
      </c>
      <c r="V37" s="7">
        <f>IF(OR($C37="",$C$12=""),"",IF(OR(M37="Yes",N37="Yes"),"Yes","No"))</f>
        <v/>
      </c>
      <c r="W37" s="20">
        <f>IF(ISNUMBER(C37),C37,NA())</f>
        <v/>
      </c>
      <c r="X37" s="20">
        <f>IF(ISNUMBER(E37),E37,NA())</f>
        <v/>
      </c>
      <c r="Y37" s="20">
        <f>IF(ISNUMBER(G37),G37,NA())</f>
        <v/>
      </c>
      <c r="Z37" s="20">
        <f>IF(ISNUMBER(H37),H37,NA())</f>
        <v/>
      </c>
      <c r="AA37" s="20">
        <f>IF(ISNUMBER(S37),S37,NA())</f>
        <v/>
      </c>
      <c r="AB37" s="21">
        <f>IF(ISNUMBER(S37),$C$10,NA())</f>
        <v/>
      </c>
    </row>
    <row r="38">
      <c r="A38" s="6" t="n"/>
      <c r="B38" s="11" t="n"/>
      <c r="C38" s="14" t="n"/>
      <c r="D38" s="15">
        <f>IF($C38="","",IF($B38="",$C$8,$B38))</f>
        <v/>
      </c>
      <c r="E38" s="16">
        <f>IF(OR($C38="",$C$12=""),"",D38*$C$12)</f>
        <v/>
      </c>
      <c r="F38" s="17">
        <f>IF(OR($C38="",$C$12=""),"",SQRT(D38*$C$12*(1-$C$12)))</f>
        <v/>
      </c>
      <c r="G38" s="16">
        <f>IF(OR($C38="",$C$12=""),"",E38+2*F38)</f>
        <v/>
      </c>
      <c r="H38" s="16">
        <f>IF(OR($C38="",$C$12=""),"",E38+3*F38)</f>
        <v/>
      </c>
      <c r="I38" s="17">
        <f>IF($C38="","",C38/D38*1000)</f>
        <v/>
      </c>
      <c r="J38" s="17">
        <f>IF(OR($C38="",$C$12=""),"",G38/D38*1000)</f>
        <v/>
      </c>
      <c r="K38" s="17">
        <f>IF(OR($C38="",$C$12=""),"",H38/D38*1000)</f>
        <v/>
      </c>
      <c r="L38" s="7">
        <f>IF(OR($C38="",$C$12=""),"",IF(C38&gt;G38,"Yes","No"))</f>
        <v/>
      </c>
      <c r="M38" s="7">
        <f>IF(OR($C38="",$C$12=""),"",IF(C38&gt;H38,"Yes","No"))</f>
        <v/>
      </c>
      <c r="N38" s="7">
        <f>IF(OR($C38="",$C$12=""),"",IF(COUNTIF(L36:L38,"Yes")&gt;=2,"Yes","No"))</f>
        <v/>
      </c>
      <c r="O38" s="18">
        <f>IF(OR($C38="",$C$12=""),"",IF(C38=0,1,1-_xlfn.BINOM.DIST(C38-1,D38,$C$12,TRUE)))</f>
        <v/>
      </c>
      <c r="P38" s="19">
        <f>IF(OR($C38="",$C$12=""),"",_xlfn.BINOM.INV(D38,$C$12,0.97725))</f>
        <v/>
      </c>
      <c r="Q38" s="19">
        <f>IF(OR($C38="",$C$12=""),"",_xlfn.BINOM.INV(D38,$C$12,0.99865))</f>
        <v/>
      </c>
      <c r="R38" s="17">
        <f>IF(OR($C38="",$C$12=""),"",(C38-E38)/F38)</f>
        <v/>
      </c>
      <c r="S38" s="17">
        <f>IF(OR($C38="",$C$12=""),"",MAX(0,IF(ISNUMBER(S37),S37,$C$11)+R38-$C$9))</f>
        <v/>
      </c>
      <c r="T38" s="7">
        <f>IF(OR($C38="",$C$12=""),"",IF(S38&gt;$C$10,"Yes","No"))</f>
        <v/>
      </c>
      <c r="U38" s="7">
        <f>IF(OR($C38="",$C$12=""),"",IF(M38="Yes","Beyond 3σ",IF(L38="Yes","Beyond 2σ","Within limits"))&amp;IF(N38="Yes","; 2 of 3 beyond 2σ",""))</f>
        <v/>
      </c>
      <c r="V38" s="7">
        <f>IF(OR($C38="",$C$12=""),"",IF(OR(M38="Yes",N38="Yes"),"Yes","No"))</f>
        <v/>
      </c>
      <c r="W38" s="20">
        <f>IF(ISNUMBER(C38),C38,NA())</f>
        <v/>
      </c>
      <c r="X38" s="20">
        <f>IF(ISNUMBER(E38),E38,NA())</f>
        <v/>
      </c>
      <c r="Y38" s="20">
        <f>IF(ISNUMBER(G38),G38,NA())</f>
        <v/>
      </c>
      <c r="Z38" s="20">
        <f>IF(ISNUMBER(H38),H38,NA())</f>
        <v/>
      </c>
      <c r="AA38" s="20">
        <f>IF(ISNUMBER(S38),S38,NA())</f>
        <v/>
      </c>
      <c r="AB38" s="21">
        <f>IF(ISNUMBER(S38),$C$10,NA())</f>
        <v/>
      </c>
    </row>
    <row r="40">
      <c r="A40" s="8" t="inlineStr">
        <is>
          <t>SUMMARY</t>
        </is>
      </c>
    </row>
    <row r="41">
      <c r="A41" s="9" t="inlineStr">
        <is>
          <t>Periods entered</t>
        </is>
      </c>
      <c r="C41" s="22">
        <f>COUNT(C15:C38)</f>
        <v/>
      </c>
    </row>
    <row r="42">
      <c r="A42" s="9" t="inlineStr">
        <is>
          <t>Total observed</t>
        </is>
      </c>
      <c r="C42" s="22">
        <f>IF(COUNT(C15:C38)=0,"",SUM(C15:C38))</f>
        <v/>
      </c>
    </row>
    <row r="43">
      <c r="A43" s="9" t="inlineStr">
        <is>
          <t>Total expected</t>
        </is>
      </c>
      <c r="C43" s="23">
        <f>IF(COUNT(E15:E38)=0,"",SUM(E15:E38))</f>
        <v/>
      </c>
    </row>
    <row r="44">
      <c r="A44" s="9" t="inlineStr">
        <is>
          <t>Latest period: rate ÷ baseline</t>
        </is>
      </c>
      <c r="C44" s="24">
        <f>IF(OR(COUNT(C15:C38)=0,$C$7=""),"",INDEX(I15:I38,COUNT(C15:C38))/$C$7)</f>
        <v/>
      </c>
    </row>
    <row r="45">
      <c r="A45" s="9" t="inlineStr">
        <is>
          <t>Maximum CUSUM</t>
        </is>
      </c>
      <c r="C45" s="24">
        <f>IF(COUNT(S15:S38)=0,"",MAX(S15:S38))</f>
        <v/>
      </c>
    </row>
    <row r="46">
      <c r="A46" s="9" t="inlineStr">
        <is>
          <t>Periods with reporting trigger met</t>
        </is>
      </c>
      <c r="C46" s="22">
        <f>COUNTIF(V15:V38,"Yes")</f>
        <v/>
      </c>
    </row>
    <row r="48">
      <c r="A48" s="8" t="inlineStr">
        <is>
          <t>RECORD EACH REVIEW</t>
        </is>
      </c>
    </row>
    <row r="49">
      <c r="A49" s="25" t="inlineStr">
        <is>
          <t>When a screening rule fires, write in the signal record: the limits, the denominator, the CUSUM value, the decision, the reasoning, and who decided and when.</t>
        </is>
      </c>
    </row>
    <row r="50">
      <c r="A50" s="25" t="inlineStr">
        <is>
          <t>When a rule fires and no report is filed, the same record is required (Tool T-5). Severity changes are reviewed clinically, not charted (Chapter 8, Step 7).</t>
        </is>
      </c>
    </row>
    <row r="51">
      <c r="A51" s="25" t="inlineStr">
        <is>
          <t>Example (Year 4, month 3): "Single point beyond 2σ (31 against a limit of 28.9). Reporting triggers not met. CUSUM 3.09 against a limit of 4. Signal review opened; data to be stratified by cartridge lot, with lots from SX-2310 onward compared with earlier lots; severity of events reviewed. Decision by the vigilance lead, [date]."</t>
        </is>
      </c>
    </row>
    <row r="52">
      <c r="A52" s="25" t="inlineStr">
        <is>
          <t>Example (Year 4, month 4): "Both reporting triggers met. Article 88 trend report prepared. Signal validated and under assessment." Book reference values: Table 8.1 (CUSUM 0.00, 0.17, 0.12, 0.07, 1.13, 3.09, 6.17).</t>
        </is>
      </c>
    </row>
  </sheetData>
  <conditionalFormatting sqref="L15:N38">
    <cfRule type="expression" priority="1" dxfId="0">
      <formula>L15="Yes"</formula>
    </cfRule>
  </conditionalFormatting>
  <conditionalFormatting sqref="T15:T38">
    <cfRule type="expression" priority="2" dxfId="0">
      <formula>T15="Yes"</formula>
    </cfRule>
  </conditionalFormatting>
  <conditionalFormatting sqref="V15:V38">
    <cfRule type="expression" priority="3" dxfId="1">
      <formula>V15="Yes"</formula>
    </cfRule>
  </conditionalFormatting>
  <pageMargins left="0.75" right="0.75" top="1" bottom="1" header="0.5" footer="0.5"/>
  <pageSetup orientation="landscape" paperSize="1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50"/>
  <sheetViews>
    <sheetView showGridLines="0"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0" customWidth="1" min="4" max="4"/>
    <col width="10" customWidth="1" min="5" max="5"/>
    <col width="8" customWidth="1" min="6" max="6"/>
    <col width="10" customWidth="1" min="7" max="7"/>
    <col width="10" customWidth="1" min="8" max="8"/>
    <col width="9" customWidth="1" min="9" max="9"/>
    <col width="9" customWidth="1" min="10" max="10"/>
    <col width="9" customWidth="1" min="11" max="11"/>
    <col width="8" customWidth="1" min="12" max="12"/>
    <col width="8" customWidth="1" min="13" max="13"/>
    <col width="11" customWidth="1" min="14" max="14"/>
    <col width="10" customWidth="1" min="15" max="15"/>
    <col width="11" customWidth="1" min="16" max="16"/>
    <col width="11" customWidth="1" min="17" max="17"/>
    <col width="7" customWidth="1" min="18" max="18"/>
    <col width="9" customWidth="1" min="19" max="19"/>
    <col width="8" customWidth="1" min="20" max="20"/>
    <col width="26" customWidth="1" min="21" max="21"/>
    <col width="10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</cols>
  <sheetData>
    <row r="1">
      <c r="A1" s="1" t="inlineStr">
        <is>
          <t>Trend calculator: p-chart and CUSUM — Your data</t>
        </is>
      </c>
    </row>
    <row r="2">
      <c r="A2" s="2" t="inlineStr">
        <is>
          <t>Signal Management in Medical Device Vigilance · Selim Medical Press · © 2026 · Tool T-6 · Chapter 8</t>
        </is>
      </c>
    </row>
    <row r="3">
      <c r="A3" s="2" t="inlineStr">
        <is>
          <t>Educational template — adapt to your quality system. Not a regulatory requirement. All example data are fictional.</t>
        </is>
      </c>
    </row>
    <row r="4">
      <c r="A4" s="5" t="inlineStr">
        <is>
          <t>Legend:</t>
        </is>
      </c>
      <c r="B4" s="6" t="inlineStr">
        <is>
          <t>Input (edit)</t>
        </is>
      </c>
      <c r="C4" s="7" t="inlineStr">
        <is>
          <t>Calculated (do not edit)</t>
        </is>
      </c>
    </row>
    <row r="6">
      <c r="A6" s="8" t="inlineStr">
        <is>
          <t>INPUTS</t>
        </is>
      </c>
    </row>
    <row r="7">
      <c r="A7" s="9" t="inlineStr">
        <is>
          <t>Baseline rate per 1,000 units</t>
        </is>
      </c>
      <c r="C7" s="10" t="n"/>
      <c r="E7" s="2" t="inlineStr">
        <is>
          <t>Company choices (example): screening = any point beyond 2σ, or CUSUM &gt; h; reporting trigger = one point beyond 3σ, or 2 of 3 consecutive points beyond 2σ.</t>
        </is>
      </c>
    </row>
    <row r="8">
      <c r="A8" s="9" t="inlineStr">
        <is>
          <t>Units per period (default; override per row in column B)</t>
        </is>
      </c>
      <c r="C8" s="11" t="n"/>
      <c r="E8" s="2" t="inlineStr">
        <is>
          <t>Exact limits use the binomial distribution (BINOM.INV); a count ABOVE the exact limit breaches it. With small expected counts (2–3 per period) rely on the exact columns, not the normal limits.</t>
        </is>
      </c>
    </row>
    <row r="9">
      <c r="A9" s="9" t="inlineStr">
        <is>
          <t>CUSUM reference value k (in SD units)</t>
        </is>
      </c>
      <c r="C9" s="10" t="n">
        <v>0.5</v>
      </c>
      <c r="E9" s="2" t="inlineStr">
        <is>
          <t>Standardized CUSUM: z = (count − expected) ÷ SD;  S(t) = max(0, S(t−1) + z − k); signal when S(t) &gt; h.</t>
        </is>
      </c>
    </row>
    <row r="10">
      <c r="A10" s="9" t="inlineStr">
        <is>
          <t>CUSUM decision limit h (in SD units)</t>
        </is>
      </c>
      <c r="C10" s="10" t="n">
        <v>4</v>
      </c>
      <c r="E10" s="2" t="inlineStr">
        <is>
          <t>Grey chart-helper columns (W–AB) deliberately return the N/A error value for empty periods so the charts leave gaps; do not delete them.</t>
        </is>
      </c>
    </row>
    <row r="11">
      <c r="A11" s="9" t="inlineStr">
        <is>
          <t>CUSUM starting value S0</t>
        </is>
      </c>
      <c r="C11" s="10" t="n">
        <v>0</v>
      </c>
    </row>
    <row r="12">
      <c r="A12" s="9" t="inlineStr">
        <is>
          <t>Baseline proportion p0 = rate ÷ 1,000</t>
        </is>
      </c>
      <c r="C12" s="12">
        <f>IF(C7="","",C7/1000)</f>
        <v/>
      </c>
    </row>
    <row r="14" ht="54" customHeight="1">
      <c r="A14" s="13" t="inlineStr">
        <is>
          <t>Period</t>
        </is>
      </c>
      <c r="B14" s="13" t="inlineStr">
        <is>
          <t>Units override (optional)</t>
        </is>
      </c>
      <c r="C14" s="13" t="inlineStr">
        <is>
          <t>Observed count</t>
        </is>
      </c>
      <c r="D14" s="13" t="inlineStr">
        <is>
          <t>Units used</t>
        </is>
      </c>
      <c r="E14" s="13" t="inlineStr">
        <is>
          <t>Expected count</t>
        </is>
      </c>
      <c r="F14" s="13" t="inlineStr">
        <is>
          <t>SD</t>
        </is>
      </c>
      <c r="G14" s="13" t="inlineStr">
        <is>
          <t>2σ limit (count)</t>
        </is>
      </c>
      <c r="H14" s="13" t="inlineStr">
        <is>
          <t>3σ limit (count)</t>
        </is>
      </c>
      <c r="I14" s="13" t="inlineStr">
        <is>
          <t>Rate per 1,000</t>
        </is>
      </c>
      <c r="J14" s="13" t="inlineStr">
        <is>
          <t>2σ limit per 1,000</t>
        </is>
      </c>
      <c r="K14" s="13" t="inlineStr">
        <is>
          <t>3σ limit per 1,000</t>
        </is>
      </c>
      <c r="L14" s="13" t="inlineStr">
        <is>
          <t>Beyond 2σ?</t>
        </is>
      </c>
      <c r="M14" s="13" t="inlineStr">
        <is>
          <t>Beyond 3σ?</t>
        </is>
      </c>
      <c r="N14" s="13" t="inlineStr">
        <is>
          <t>2 of 3 consecutive beyond 2σ?</t>
        </is>
      </c>
      <c r="O14" s="13" t="inlineStr">
        <is>
          <t>Exact P(X ≥ count)</t>
        </is>
      </c>
      <c r="P14" s="13" t="inlineStr">
        <is>
          <t>Exact 2σ-equiv. limit (0.97725)</t>
        </is>
      </c>
      <c r="Q14" s="13" t="inlineStr">
        <is>
          <t>Exact 3σ-equiv. limit (0.99865)</t>
        </is>
      </c>
      <c r="R14" s="13" t="inlineStr">
        <is>
          <t>z</t>
        </is>
      </c>
      <c r="S14" s="13" t="inlineStr">
        <is>
          <t>CUSUM S(t)</t>
        </is>
      </c>
      <c r="T14" s="13" t="inlineStr">
        <is>
          <t>CUSUM &gt; h?</t>
        </is>
      </c>
      <c r="U14" s="13" t="inlineStr">
        <is>
          <t>Chart status</t>
        </is>
      </c>
      <c r="V14" s="13" t="inlineStr">
        <is>
          <t>Reporting trigger met?</t>
        </is>
      </c>
      <c r="W14" s="13" t="inlineStr">
        <is>
          <t>chart: count</t>
        </is>
      </c>
      <c r="X14" s="13" t="inlineStr">
        <is>
          <t>chart: expected</t>
        </is>
      </c>
      <c r="Y14" s="13" t="inlineStr">
        <is>
          <t>chart: 2σ</t>
        </is>
      </c>
      <c r="Z14" s="13" t="inlineStr">
        <is>
          <t>chart: 3σ</t>
        </is>
      </c>
      <c r="AA14" s="13" t="inlineStr">
        <is>
          <t>chart: CUSUM</t>
        </is>
      </c>
      <c r="AB14" s="13" t="inlineStr">
        <is>
          <t>chart: h</t>
        </is>
      </c>
    </row>
    <row r="15">
      <c r="A15" s="6" t="n"/>
      <c r="B15" s="11" t="n"/>
      <c r="C15" s="14" t="n"/>
      <c r="D15" s="15">
        <f>IF($C15="","",IF($B15="",$C$8,$B15))</f>
        <v/>
      </c>
      <c r="E15" s="16">
        <f>IF(OR($C15="",$C$12=""),"",D15*$C$12)</f>
        <v/>
      </c>
      <c r="F15" s="17">
        <f>IF(OR($C15="",$C$12=""),"",SQRT(D15*$C$12*(1-$C$12)))</f>
        <v/>
      </c>
      <c r="G15" s="16">
        <f>IF(OR($C15="",$C$12=""),"",E15+2*F15)</f>
        <v/>
      </c>
      <c r="H15" s="16">
        <f>IF(OR($C15="",$C$12=""),"",E15+3*F15)</f>
        <v/>
      </c>
      <c r="I15" s="17">
        <f>IF($C15="","",C15/D15*1000)</f>
        <v/>
      </c>
      <c r="J15" s="17">
        <f>IF(OR($C15="",$C$12=""),"",G15/D15*1000)</f>
        <v/>
      </c>
      <c r="K15" s="17">
        <f>IF(OR($C15="",$C$12=""),"",H15/D15*1000)</f>
        <v/>
      </c>
      <c r="L15" s="7">
        <f>IF(OR($C15="",$C$12=""),"",IF(C15&gt;G15,"Yes","No"))</f>
        <v/>
      </c>
      <c r="M15" s="7">
        <f>IF(OR($C15="",$C$12=""),"",IF(C15&gt;H15,"Yes","No"))</f>
        <v/>
      </c>
      <c r="N15" s="7">
        <f>IF(OR($C15="",$C$12=""),"",IF(COUNTIF(L15:L15,"Yes")&gt;=2,"Yes","No"))</f>
        <v/>
      </c>
      <c r="O15" s="18">
        <f>IF(OR($C15="",$C$12=""),"",IF(C15=0,1,1-_xlfn.BINOM.DIST(C15-1,D15,$C$12,TRUE)))</f>
        <v/>
      </c>
      <c r="P15" s="19">
        <f>IF(OR($C15="",$C$12=""),"",_xlfn.BINOM.INV(D15,$C$12,0.97725))</f>
        <v/>
      </c>
      <c r="Q15" s="19">
        <f>IF(OR($C15="",$C$12=""),"",_xlfn.BINOM.INV(D15,$C$12,0.99865))</f>
        <v/>
      </c>
      <c r="R15" s="17">
        <f>IF(OR($C15="",$C$12=""),"",(C15-E15)/F15)</f>
        <v/>
      </c>
      <c r="S15" s="17">
        <f>IF(OR($C15="",$C$12=""),"",MAX(0,$C$11+R15-$C$9))</f>
        <v/>
      </c>
      <c r="T15" s="7">
        <f>IF(OR($C15="",$C$12=""),"",IF(S15&gt;$C$10,"Yes","No"))</f>
        <v/>
      </c>
      <c r="U15" s="7">
        <f>IF(OR($C15="",$C$12=""),"",IF(M15="Yes","Beyond 3σ",IF(L15="Yes","Beyond 2σ","Within limits"))&amp;IF(N15="Yes","; 2 of 3 beyond 2σ",""))</f>
        <v/>
      </c>
      <c r="V15" s="7">
        <f>IF(OR($C15="",$C$12=""),"",IF(OR(M15="Yes",N15="Yes"),"Yes","No"))</f>
        <v/>
      </c>
      <c r="W15" s="20">
        <f>IF(ISNUMBER(C15),C15,NA())</f>
        <v/>
      </c>
      <c r="X15" s="20">
        <f>IF(ISNUMBER(E15),E15,NA())</f>
        <v/>
      </c>
      <c r="Y15" s="20">
        <f>IF(ISNUMBER(G15),G15,NA())</f>
        <v/>
      </c>
      <c r="Z15" s="20">
        <f>IF(ISNUMBER(H15),H15,NA())</f>
        <v/>
      </c>
      <c r="AA15" s="20">
        <f>IF(ISNUMBER(S15),S15,NA())</f>
        <v/>
      </c>
      <c r="AB15" s="21">
        <f>IF(ISNUMBER(S15),$C$10,NA())</f>
        <v/>
      </c>
    </row>
    <row r="16">
      <c r="A16" s="6" t="n"/>
      <c r="B16" s="11" t="n"/>
      <c r="C16" s="14" t="n"/>
      <c r="D16" s="15">
        <f>IF($C16="","",IF($B16="",$C$8,$B16))</f>
        <v/>
      </c>
      <c r="E16" s="16">
        <f>IF(OR($C16="",$C$12=""),"",D16*$C$12)</f>
        <v/>
      </c>
      <c r="F16" s="17">
        <f>IF(OR($C16="",$C$12=""),"",SQRT(D16*$C$12*(1-$C$12)))</f>
        <v/>
      </c>
      <c r="G16" s="16">
        <f>IF(OR($C16="",$C$12=""),"",E16+2*F16)</f>
        <v/>
      </c>
      <c r="H16" s="16">
        <f>IF(OR($C16="",$C$12=""),"",E16+3*F16)</f>
        <v/>
      </c>
      <c r="I16" s="17">
        <f>IF($C16="","",C16/D16*1000)</f>
        <v/>
      </c>
      <c r="J16" s="17">
        <f>IF(OR($C16="",$C$12=""),"",G16/D16*1000)</f>
        <v/>
      </c>
      <c r="K16" s="17">
        <f>IF(OR($C16="",$C$12=""),"",H16/D16*1000)</f>
        <v/>
      </c>
      <c r="L16" s="7">
        <f>IF(OR($C16="",$C$12=""),"",IF(C16&gt;G16,"Yes","No"))</f>
        <v/>
      </c>
      <c r="M16" s="7">
        <f>IF(OR($C16="",$C$12=""),"",IF(C16&gt;H16,"Yes","No"))</f>
        <v/>
      </c>
      <c r="N16" s="7">
        <f>IF(OR($C16="",$C$12=""),"",IF(COUNTIF(L15:L16,"Yes")&gt;=2,"Yes","No"))</f>
        <v/>
      </c>
      <c r="O16" s="18">
        <f>IF(OR($C16="",$C$12=""),"",IF(C16=0,1,1-_xlfn.BINOM.DIST(C16-1,D16,$C$12,TRUE)))</f>
        <v/>
      </c>
      <c r="P16" s="19">
        <f>IF(OR($C16="",$C$12=""),"",_xlfn.BINOM.INV(D16,$C$12,0.97725))</f>
        <v/>
      </c>
      <c r="Q16" s="19">
        <f>IF(OR($C16="",$C$12=""),"",_xlfn.BINOM.INV(D16,$C$12,0.99865))</f>
        <v/>
      </c>
      <c r="R16" s="17">
        <f>IF(OR($C16="",$C$12=""),"",(C16-E16)/F16)</f>
        <v/>
      </c>
      <c r="S16" s="17">
        <f>IF(OR($C16="",$C$12=""),"",MAX(0,IF(ISNUMBER(S15),S15,$C$11)+R16-$C$9))</f>
        <v/>
      </c>
      <c r="T16" s="7">
        <f>IF(OR($C16="",$C$12=""),"",IF(S16&gt;$C$10,"Yes","No"))</f>
        <v/>
      </c>
      <c r="U16" s="7">
        <f>IF(OR($C16="",$C$12=""),"",IF(M16="Yes","Beyond 3σ",IF(L16="Yes","Beyond 2σ","Within limits"))&amp;IF(N16="Yes","; 2 of 3 beyond 2σ",""))</f>
        <v/>
      </c>
      <c r="V16" s="7">
        <f>IF(OR($C16="",$C$12=""),"",IF(OR(M16="Yes",N16="Yes"),"Yes","No"))</f>
        <v/>
      </c>
      <c r="W16" s="20">
        <f>IF(ISNUMBER(C16),C16,NA())</f>
        <v/>
      </c>
      <c r="X16" s="20">
        <f>IF(ISNUMBER(E16),E16,NA())</f>
        <v/>
      </c>
      <c r="Y16" s="20">
        <f>IF(ISNUMBER(G16),G16,NA())</f>
        <v/>
      </c>
      <c r="Z16" s="20">
        <f>IF(ISNUMBER(H16),H16,NA())</f>
        <v/>
      </c>
      <c r="AA16" s="20">
        <f>IF(ISNUMBER(S16),S16,NA())</f>
        <v/>
      </c>
      <c r="AB16" s="21">
        <f>IF(ISNUMBER(S16),$C$10,NA())</f>
        <v/>
      </c>
    </row>
    <row r="17">
      <c r="A17" s="6" t="n"/>
      <c r="B17" s="11" t="n"/>
      <c r="C17" s="14" t="n"/>
      <c r="D17" s="15">
        <f>IF($C17="","",IF($B17="",$C$8,$B17))</f>
        <v/>
      </c>
      <c r="E17" s="16">
        <f>IF(OR($C17="",$C$12=""),"",D17*$C$12)</f>
        <v/>
      </c>
      <c r="F17" s="17">
        <f>IF(OR($C17="",$C$12=""),"",SQRT(D17*$C$12*(1-$C$12)))</f>
        <v/>
      </c>
      <c r="G17" s="16">
        <f>IF(OR($C17="",$C$12=""),"",E17+2*F17)</f>
        <v/>
      </c>
      <c r="H17" s="16">
        <f>IF(OR($C17="",$C$12=""),"",E17+3*F17)</f>
        <v/>
      </c>
      <c r="I17" s="17">
        <f>IF($C17="","",C17/D17*1000)</f>
        <v/>
      </c>
      <c r="J17" s="17">
        <f>IF(OR($C17="",$C$12=""),"",G17/D17*1000)</f>
        <v/>
      </c>
      <c r="K17" s="17">
        <f>IF(OR($C17="",$C$12=""),"",H17/D17*1000)</f>
        <v/>
      </c>
      <c r="L17" s="7">
        <f>IF(OR($C17="",$C$12=""),"",IF(C17&gt;G17,"Yes","No"))</f>
        <v/>
      </c>
      <c r="M17" s="7">
        <f>IF(OR($C17="",$C$12=""),"",IF(C17&gt;H17,"Yes","No"))</f>
        <v/>
      </c>
      <c r="N17" s="7">
        <f>IF(OR($C17="",$C$12=""),"",IF(COUNTIF(L15:L17,"Yes")&gt;=2,"Yes","No"))</f>
        <v/>
      </c>
      <c r="O17" s="18">
        <f>IF(OR($C17="",$C$12=""),"",IF(C17=0,1,1-_xlfn.BINOM.DIST(C17-1,D17,$C$12,TRUE)))</f>
        <v/>
      </c>
      <c r="P17" s="19">
        <f>IF(OR($C17="",$C$12=""),"",_xlfn.BINOM.INV(D17,$C$12,0.97725))</f>
        <v/>
      </c>
      <c r="Q17" s="19">
        <f>IF(OR($C17="",$C$12=""),"",_xlfn.BINOM.INV(D17,$C$12,0.99865))</f>
        <v/>
      </c>
      <c r="R17" s="17">
        <f>IF(OR($C17="",$C$12=""),"",(C17-E17)/F17)</f>
        <v/>
      </c>
      <c r="S17" s="17">
        <f>IF(OR($C17="",$C$12=""),"",MAX(0,IF(ISNUMBER(S16),S16,$C$11)+R17-$C$9))</f>
        <v/>
      </c>
      <c r="T17" s="7">
        <f>IF(OR($C17="",$C$12=""),"",IF(S17&gt;$C$10,"Yes","No"))</f>
        <v/>
      </c>
      <c r="U17" s="7">
        <f>IF(OR($C17="",$C$12=""),"",IF(M17="Yes","Beyond 3σ",IF(L17="Yes","Beyond 2σ","Within limits"))&amp;IF(N17="Yes","; 2 of 3 beyond 2σ",""))</f>
        <v/>
      </c>
      <c r="V17" s="7">
        <f>IF(OR($C17="",$C$12=""),"",IF(OR(M17="Yes",N17="Yes"),"Yes","No"))</f>
        <v/>
      </c>
      <c r="W17" s="20">
        <f>IF(ISNUMBER(C17),C17,NA())</f>
        <v/>
      </c>
      <c r="X17" s="20">
        <f>IF(ISNUMBER(E17),E17,NA())</f>
        <v/>
      </c>
      <c r="Y17" s="20">
        <f>IF(ISNUMBER(G17),G17,NA())</f>
        <v/>
      </c>
      <c r="Z17" s="20">
        <f>IF(ISNUMBER(H17),H17,NA())</f>
        <v/>
      </c>
      <c r="AA17" s="20">
        <f>IF(ISNUMBER(S17),S17,NA())</f>
        <v/>
      </c>
      <c r="AB17" s="21">
        <f>IF(ISNUMBER(S17),$C$10,NA())</f>
        <v/>
      </c>
    </row>
    <row r="18">
      <c r="A18" s="6" t="n"/>
      <c r="B18" s="11" t="n"/>
      <c r="C18" s="14" t="n"/>
      <c r="D18" s="15">
        <f>IF($C18="","",IF($B18="",$C$8,$B18))</f>
        <v/>
      </c>
      <c r="E18" s="16">
        <f>IF(OR($C18="",$C$12=""),"",D18*$C$12)</f>
        <v/>
      </c>
      <c r="F18" s="17">
        <f>IF(OR($C18="",$C$12=""),"",SQRT(D18*$C$12*(1-$C$12)))</f>
        <v/>
      </c>
      <c r="G18" s="16">
        <f>IF(OR($C18="",$C$12=""),"",E18+2*F18)</f>
        <v/>
      </c>
      <c r="H18" s="16">
        <f>IF(OR($C18="",$C$12=""),"",E18+3*F18)</f>
        <v/>
      </c>
      <c r="I18" s="17">
        <f>IF($C18="","",C18/D18*1000)</f>
        <v/>
      </c>
      <c r="J18" s="17">
        <f>IF(OR($C18="",$C$12=""),"",G18/D18*1000)</f>
        <v/>
      </c>
      <c r="K18" s="17">
        <f>IF(OR($C18="",$C$12=""),"",H18/D18*1000)</f>
        <v/>
      </c>
      <c r="L18" s="7">
        <f>IF(OR($C18="",$C$12=""),"",IF(C18&gt;G18,"Yes","No"))</f>
        <v/>
      </c>
      <c r="M18" s="7">
        <f>IF(OR($C18="",$C$12=""),"",IF(C18&gt;H18,"Yes","No"))</f>
        <v/>
      </c>
      <c r="N18" s="7">
        <f>IF(OR($C18="",$C$12=""),"",IF(COUNTIF(L16:L18,"Yes")&gt;=2,"Yes","No"))</f>
        <v/>
      </c>
      <c r="O18" s="18">
        <f>IF(OR($C18="",$C$12=""),"",IF(C18=0,1,1-_xlfn.BINOM.DIST(C18-1,D18,$C$12,TRUE)))</f>
        <v/>
      </c>
      <c r="P18" s="19">
        <f>IF(OR($C18="",$C$12=""),"",_xlfn.BINOM.INV(D18,$C$12,0.97725))</f>
        <v/>
      </c>
      <c r="Q18" s="19">
        <f>IF(OR($C18="",$C$12=""),"",_xlfn.BINOM.INV(D18,$C$12,0.99865))</f>
        <v/>
      </c>
      <c r="R18" s="17">
        <f>IF(OR($C18="",$C$12=""),"",(C18-E18)/F18)</f>
        <v/>
      </c>
      <c r="S18" s="17">
        <f>IF(OR($C18="",$C$12=""),"",MAX(0,IF(ISNUMBER(S17),S17,$C$11)+R18-$C$9))</f>
        <v/>
      </c>
      <c r="T18" s="7">
        <f>IF(OR($C18="",$C$12=""),"",IF(S18&gt;$C$10,"Yes","No"))</f>
        <v/>
      </c>
      <c r="U18" s="7">
        <f>IF(OR($C18="",$C$12=""),"",IF(M18="Yes","Beyond 3σ",IF(L18="Yes","Beyond 2σ","Within limits"))&amp;IF(N18="Yes","; 2 of 3 beyond 2σ",""))</f>
        <v/>
      </c>
      <c r="V18" s="7">
        <f>IF(OR($C18="",$C$12=""),"",IF(OR(M18="Yes",N18="Yes"),"Yes","No"))</f>
        <v/>
      </c>
      <c r="W18" s="20">
        <f>IF(ISNUMBER(C18),C18,NA())</f>
        <v/>
      </c>
      <c r="X18" s="20">
        <f>IF(ISNUMBER(E18),E18,NA())</f>
        <v/>
      </c>
      <c r="Y18" s="20">
        <f>IF(ISNUMBER(G18),G18,NA())</f>
        <v/>
      </c>
      <c r="Z18" s="20">
        <f>IF(ISNUMBER(H18),H18,NA())</f>
        <v/>
      </c>
      <c r="AA18" s="20">
        <f>IF(ISNUMBER(S18),S18,NA())</f>
        <v/>
      </c>
      <c r="AB18" s="21">
        <f>IF(ISNUMBER(S18),$C$10,NA())</f>
        <v/>
      </c>
    </row>
    <row r="19">
      <c r="A19" s="6" t="n"/>
      <c r="B19" s="11" t="n"/>
      <c r="C19" s="14" t="n"/>
      <c r="D19" s="15">
        <f>IF($C19="","",IF($B19="",$C$8,$B19))</f>
        <v/>
      </c>
      <c r="E19" s="16">
        <f>IF(OR($C19="",$C$12=""),"",D19*$C$12)</f>
        <v/>
      </c>
      <c r="F19" s="17">
        <f>IF(OR($C19="",$C$12=""),"",SQRT(D19*$C$12*(1-$C$12)))</f>
        <v/>
      </c>
      <c r="G19" s="16">
        <f>IF(OR($C19="",$C$12=""),"",E19+2*F19)</f>
        <v/>
      </c>
      <c r="H19" s="16">
        <f>IF(OR($C19="",$C$12=""),"",E19+3*F19)</f>
        <v/>
      </c>
      <c r="I19" s="17">
        <f>IF($C19="","",C19/D19*1000)</f>
        <v/>
      </c>
      <c r="J19" s="17">
        <f>IF(OR($C19="",$C$12=""),"",G19/D19*1000)</f>
        <v/>
      </c>
      <c r="K19" s="17">
        <f>IF(OR($C19="",$C$12=""),"",H19/D19*1000)</f>
        <v/>
      </c>
      <c r="L19" s="7">
        <f>IF(OR($C19="",$C$12=""),"",IF(C19&gt;G19,"Yes","No"))</f>
        <v/>
      </c>
      <c r="M19" s="7">
        <f>IF(OR($C19="",$C$12=""),"",IF(C19&gt;H19,"Yes","No"))</f>
        <v/>
      </c>
      <c r="N19" s="7">
        <f>IF(OR($C19="",$C$12=""),"",IF(COUNTIF(L17:L19,"Yes")&gt;=2,"Yes","No"))</f>
        <v/>
      </c>
      <c r="O19" s="18">
        <f>IF(OR($C19="",$C$12=""),"",IF(C19=0,1,1-_xlfn.BINOM.DIST(C19-1,D19,$C$12,TRUE)))</f>
        <v/>
      </c>
      <c r="P19" s="19">
        <f>IF(OR($C19="",$C$12=""),"",_xlfn.BINOM.INV(D19,$C$12,0.97725))</f>
        <v/>
      </c>
      <c r="Q19" s="19">
        <f>IF(OR($C19="",$C$12=""),"",_xlfn.BINOM.INV(D19,$C$12,0.99865))</f>
        <v/>
      </c>
      <c r="R19" s="17">
        <f>IF(OR($C19="",$C$12=""),"",(C19-E19)/F19)</f>
        <v/>
      </c>
      <c r="S19" s="17">
        <f>IF(OR($C19="",$C$12=""),"",MAX(0,IF(ISNUMBER(S18),S18,$C$11)+R19-$C$9))</f>
        <v/>
      </c>
      <c r="T19" s="7">
        <f>IF(OR($C19="",$C$12=""),"",IF(S19&gt;$C$10,"Yes","No"))</f>
        <v/>
      </c>
      <c r="U19" s="7">
        <f>IF(OR($C19="",$C$12=""),"",IF(M19="Yes","Beyond 3σ",IF(L19="Yes","Beyond 2σ","Within limits"))&amp;IF(N19="Yes","; 2 of 3 beyond 2σ",""))</f>
        <v/>
      </c>
      <c r="V19" s="7">
        <f>IF(OR($C19="",$C$12=""),"",IF(OR(M19="Yes",N19="Yes"),"Yes","No"))</f>
        <v/>
      </c>
      <c r="W19" s="20">
        <f>IF(ISNUMBER(C19),C19,NA())</f>
        <v/>
      </c>
      <c r="X19" s="20">
        <f>IF(ISNUMBER(E19),E19,NA())</f>
        <v/>
      </c>
      <c r="Y19" s="20">
        <f>IF(ISNUMBER(G19),G19,NA())</f>
        <v/>
      </c>
      <c r="Z19" s="20">
        <f>IF(ISNUMBER(H19),H19,NA())</f>
        <v/>
      </c>
      <c r="AA19" s="20">
        <f>IF(ISNUMBER(S19),S19,NA())</f>
        <v/>
      </c>
      <c r="AB19" s="21">
        <f>IF(ISNUMBER(S19),$C$10,NA())</f>
        <v/>
      </c>
    </row>
    <row r="20">
      <c r="A20" s="6" t="n"/>
      <c r="B20" s="11" t="n"/>
      <c r="C20" s="14" t="n"/>
      <c r="D20" s="15">
        <f>IF($C20="","",IF($B20="",$C$8,$B20))</f>
        <v/>
      </c>
      <c r="E20" s="16">
        <f>IF(OR($C20="",$C$12=""),"",D20*$C$12)</f>
        <v/>
      </c>
      <c r="F20" s="17">
        <f>IF(OR($C20="",$C$12=""),"",SQRT(D20*$C$12*(1-$C$12)))</f>
        <v/>
      </c>
      <c r="G20" s="16">
        <f>IF(OR($C20="",$C$12=""),"",E20+2*F20)</f>
        <v/>
      </c>
      <c r="H20" s="16">
        <f>IF(OR($C20="",$C$12=""),"",E20+3*F20)</f>
        <v/>
      </c>
      <c r="I20" s="17">
        <f>IF($C20="","",C20/D20*1000)</f>
        <v/>
      </c>
      <c r="J20" s="17">
        <f>IF(OR($C20="",$C$12=""),"",G20/D20*1000)</f>
        <v/>
      </c>
      <c r="K20" s="17">
        <f>IF(OR($C20="",$C$12=""),"",H20/D20*1000)</f>
        <v/>
      </c>
      <c r="L20" s="7">
        <f>IF(OR($C20="",$C$12=""),"",IF(C20&gt;G20,"Yes","No"))</f>
        <v/>
      </c>
      <c r="M20" s="7">
        <f>IF(OR($C20="",$C$12=""),"",IF(C20&gt;H20,"Yes","No"))</f>
        <v/>
      </c>
      <c r="N20" s="7">
        <f>IF(OR($C20="",$C$12=""),"",IF(COUNTIF(L18:L20,"Yes")&gt;=2,"Yes","No"))</f>
        <v/>
      </c>
      <c r="O20" s="18">
        <f>IF(OR($C20="",$C$12=""),"",IF(C20=0,1,1-_xlfn.BINOM.DIST(C20-1,D20,$C$12,TRUE)))</f>
        <v/>
      </c>
      <c r="P20" s="19">
        <f>IF(OR($C20="",$C$12=""),"",_xlfn.BINOM.INV(D20,$C$12,0.97725))</f>
        <v/>
      </c>
      <c r="Q20" s="19">
        <f>IF(OR($C20="",$C$12=""),"",_xlfn.BINOM.INV(D20,$C$12,0.99865))</f>
        <v/>
      </c>
      <c r="R20" s="17">
        <f>IF(OR($C20="",$C$12=""),"",(C20-E20)/F20)</f>
        <v/>
      </c>
      <c r="S20" s="17">
        <f>IF(OR($C20="",$C$12=""),"",MAX(0,IF(ISNUMBER(S19),S19,$C$11)+R20-$C$9))</f>
        <v/>
      </c>
      <c r="T20" s="7">
        <f>IF(OR($C20="",$C$12=""),"",IF(S20&gt;$C$10,"Yes","No"))</f>
        <v/>
      </c>
      <c r="U20" s="7">
        <f>IF(OR($C20="",$C$12=""),"",IF(M20="Yes","Beyond 3σ",IF(L20="Yes","Beyond 2σ","Within limits"))&amp;IF(N20="Yes","; 2 of 3 beyond 2σ",""))</f>
        <v/>
      </c>
      <c r="V20" s="7">
        <f>IF(OR($C20="",$C$12=""),"",IF(OR(M20="Yes",N20="Yes"),"Yes","No"))</f>
        <v/>
      </c>
      <c r="W20" s="20">
        <f>IF(ISNUMBER(C20),C20,NA())</f>
        <v/>
      </c>
      <c r="X20" s="20">
        <f>IF(ISNUMBER(E20),E20,NA())</f>
        <v/>
      </c>
      <c r="Y20" s="20">
        <f>IF(ISNUMBER(G20),G20,NA())</f>
        <v/>
      </c>
      <c r="Z20" s="20">
        <f>IF(ISNUMBER(H20),H20,NA())</f>
        <v/>
      </c>
      <c r="AA20" s="20">
        <f>IF(ISNUMBER(S20),S20,NA())</f>
        <v/>
      </c>
      <c r="AB20" s="21">
        <f>IF(ISNUMBER(S20),$C$10,NA())</f>
        <v/>
      </c>
    </row>
    <row r="21">
      <c r="A21" s="6" t="n"/>
      <c r="B21" s="11" t="n"/>
      <c r="C21" s="14" t="n"/>
      <c r="D21" s="15">
        <f>IF($C21="","",IF($B21="",$C$8,$B21))</f>
        <v/>
      </c>
      <c r="E21" s="16">
        <f>IF(OR($C21="",$C$12=""),"",D21*$C$12)</f>
        <v/>
      </c>
      <c r="F21" s="17">
        <f>IF(OR($C21="",$C$12=""),"",SQRT(D21*$C$12*(1-$C$12)))</f>
        <v/>
      </c>
      <c r="G21" s="16">
        <f>IF(OR($C21="",$C$12=""),"",E21+2*F21)</f>
        <v/>
      </c>
      <c r="H21" s="16">
        <f>IF(OR($C21="",$C$12=""),"",E21+3*F21)</f>
        <v/>
      </c>
      <c r="I21" s="17">
        <f>IF($C21="","",C21/D21*1000)</f>
        <v/>
      </c>
      <c r="J21" s="17">
        <f>IF(OR($C21="",$C$12=""),"",G21/D21*1000)</f>
        <v/>
      </c>
      <c r="K21" s="17">
        <f>IF(OR($C21="",$C$12=""),"",H21/D21*1000)</f>
        <v/>
      </c>
      <c r="L21" s="7">
        <f>IF(OR($C21="",$C$12=""),"",IF(C21&gt;G21,"Yes","No"))</f>
        <v/>
      </c>
      <c r="M21" s="7">
        <f>IF(OR($C21="",$C$12=""),"",IF(C21&gt;H21,"Yes","No"))</f>
        <v/>
      </c>
      <c r="N21" s="7">
        <f>IF(OR($C21="",$C$12=""),"",IF(COUNTIF(L19:L21,"Yes")&gt;=2,"Yes","No"))</f>
        <v/>
      </c>
      <c r="O21" s="18">
        <f>IF(OR($C21="",$C$12=""),"",IF(C21=0,1,1-_xlfn.BINOM.DIST(C21-1,D21,$C$12,TRUE)))</f>
        <v/>
      </c>
      <c r="P21" s="19">
        <f>IF(OR($C21="",$C$12=""),"",_xlfn.BINOM.INV(D21,$C$12,0.97725))</f>
        <v/>
      </c>
      <c r="Q21" s="19">
        <f>IF(OR($C21="",$C$12=""),"",_xlfn.BINOM.INV(D21,$C$12,0.99865))</f>
        <v/>
      </c>
      <c r="R21" s="17">
        <f>IF(OR($C21="",$C$12=""),"",(C21-E21)/F21)</f>
        <v/>
      </c>
      <c r="S21" s="17">
        <f>IF(OR($C21="",$C$12=""),"",MAX(0,IF(ISNUMBER(S20),S20,$C$11)+R21-$C$9))</f>
        <v/>
      </c>
      <c r="T21" s="7">
        <f>IF(OR($C21="",$C$12=""),"",IF(S21&gt;$C$10,"Yes","No"))</f>
        <v/>
      </c>
      <c r="U21" s="7">
        <f>IF(OR($C21="",$C$12=""),"",IF(M21="Yes","Beyond 3σ",IF(L21="Yes","Beyond 2σ","Within limits"))&amp;IF(N21="Yes","; 2 of 3 beyond 2σ",""))</f>
        <v/>
      </c>
      <c r="V21" s="7">
        <f>IF(OR($C21="",$C$12=""),"",IF(OR(M21="Yes",N21="Yes"),"Yes","No"))</f>
        <v/>
      </c>
      <c r="W21" s="20">
        <f>IF(ISNUMBER(C21),C21,NA())</f>
        <v/>
      </c>
      <c r="X21" s="20">
        <f>IF(ISNUMBER(E21),E21,NA())</f>
        <v/>
      </c>
      <c r="Y21" s="20">
        <f>IF(ISNUMBER(G21),G21,NA())</f>
        <v/>
      </c>
      <c r="Z21" s="20">
        <f>IF(ISNUMBER(H21),H21,NA())</f>
        <v/>
      </c>
      <c r="AA21" s="20">
        <f>IF(ISNUMBER(S21),S21,NA())</f>
        <v/>
      </c>
      <c r="AB21" s="21">
        <f>IF(ISNUMBER(S21),$C$10,NA())</f>
        <v/>
      </c>
    </row>
    <row r="22">
      <c r="A22" s="6" t="n"/>
      <c r="B22" s="11" t="n"/>
      <c r="C22" s="14" t="n"/>
      <c r="D22" s="15">
        <f>IF($C22="","",IF($B22="",$C$8,$B22))</f>
        <v/>
      </c>
      <c r="E22" s="16">
        <f>IF(OR($C22="",$C$12=""),"",D22*$C$12)</f>
        <v/>
      </c>
      <c r="F22" s="17">
        <f>IF(OR($C22="",$C$12=""),"",SQRT(D22*$C$12*(1-$C$12)))</f>
        <v/>
      </c>
      <c r="G22" s="16">
        <f>IF(OR($C22="",$C$12=""),"",E22+2*F22)</f>
        <v/>
      </c>
      <c r="H22" s="16">
        <f>IF(OR($C22="",$C$12=""),"",E22+3*F22)</f>
        <v/>
      </c>
      <c r="I22" s="17">
        <f>IF($C22="","",C22/D22*1000)</f>
        <v/>
      </c>
      <c r="J22" s="17">
        <f>IF(OR($C22="",$C$12=""),"",G22/D22*1000)</f>
        <v/>
      </c>
      <c r="K22" s="17">
        <f>IF(OR($C22="",$C$12=""),"",H22/D22*1000)</f>
        <v/>
      </c>
      <c r="L22" s="7">
        <f>IF(OR($C22="",$C$12=""),"",IF(C22&gt;G22,"Yes","No"))</f>
        <v/>
      </c>
      <c r="M22" s="7">
        <f>IF(OR($C22="",$C$12=""),"",IF(C22&gt;H22,"Yes","No"))</f>
        <v/>
      </c>
      <c r="N22" s="7">
        <f>IF(OR($C22="",$C$12=""),"",IF(COUNTIF(L20:L22,"Yes")&gt;=2,"Yes","No"))</f>
        <v/>
      </c>
      <c r="O22" s="18">
        <f>IF(OR($C22="",$C$12=""),"",IF(C22=0,1,1-_xlfn.BINOM.DIST(C22-1,D22,$C$12,TRUE)))</f>
        <v/>
      </c>
      <c r="P22" s="19">
        <f>IF(OR($C22="",$C$12=""),"",_xlfn.BINOM.INV(D22,$C$12,0.97725))</f>
        <v/>
      </c>
      <c r="Q22" s="19">
        <f>IF(OR($C22="",$C$12=""),"",_xlfn.BINOM.INV(D22,$C$12,0.99865))</f>
        <v/>
      </c>
      <c r="R22" s="17">
        <f>IF(OR($C22="",$C$12=""),"",(C22-E22)/F22)</f>
        <v/>
      </c>
      <c r="S22" s="17">
        <f>IF(OR($C22="",$C$12=""),"",MAX(0,IF(ISNUMBER(S21),S21,$C$11)+R22-$C$9))</f>
        <v/>
      </c>
      <c r="T22" s="7">
        <f>IF(OR($C22="",$C$12=""),"",IF(S22&gt;$C$10,"Yes","No"))</f>
        <v/>
      </c>
      <c r="U22" s="7">
        <f>IF(OR($C22="",$C$12=""),"",IF(M22="Yes","Beyond 3σ",IF(L22="Yes","Beyond 2σ","Within limits"))&amp;IF(N22="Yes","; 2 of 3 beyond 2σ",""))</f>
        <v/>
      </c>
      <c r="V22" s="7">
        <f>IF(OR($C22="",$C$12=""),"",IF(OR(M22="Yes",N22="Yes"),"Yes","No"))</f>
        <v/>
      </c>
      <c r="W22" s="20">
        <f>IF(ISNUMBER(C22),C22,NA())</f>
        <v/>
      </c>
      <c r="X22" s="20">
        <f>IF(ISNUMBER(E22),E22,NA())</f>
        <v/>
      </c>
      <c r="Y22" s="20">
        <f>IF(ISNUMBER(G22),G22,NA())</f>
        <v/>
      </c>
      <c r="Z22" s="20">
        <f>IF(ISNUMBER(H22),H22,NA())</f>
        <v/>
      </c>
      <c r="AA22" s="20">
        <f>IF(ISNUMBER(S22),S22,NA())</f>
        <v/>
      </c>
      <c r="AB22" s="21">
        <f>IF(ISNUMBER(S22),$C$10,NA())</f>
        <v/>
      </c>
    </row>
    <row r="23">
      <c r="A23" s="6" t="n"/>
      <c r="B23" s="11" t="n"/>
      <c r="C23" s="14" t="n"/>
      <c r="D23" s="15">
        <f>IF($C23="","",IF($B23="",$C$8,$B23))</f>
        <v/>
      </c>
      <c r="E23" s="16">
        <f>IF(OR($C23="",$C$12=""),"",D23*$C$12)</f>
        <v/>
      </c>
      <c r="F23" s="17">
        <f>IF(OR($C23="",$C$12=""),"",SQRT(D23*$C$12*(1-$C$12)))</f>
        <v/>
      </c>
      <c r="G23" s="16">
        <f>IF(OR($C23="",$C$12=""),"",E23+2*F23)</f>
        <v/>
      </c>
      <c r="H23" s="16">
        <f>IF(OR($C23="",$C$12=""),"",E23+3*F23)</f>
        <v/>
      </c>
      <c r="I23" s="17">
        <f>IF($C23="","",C23/D23*1000)</f>
        <v/>
      </c>
      <c r="J23" s="17">
        <f>IF(OR($C23="",$C$12=""),"",G23/D23*1000)</f>
        <v/>
      </c>
      <c r="K23" s="17">
        <f>IF(OR($C23="",$C$12=""),"",H23/D23*1000)</f>
        <v/>
      </c>
      <c r="L23" s="7">
        <f>IF(OR($C23="",$C$12=""),"",IF(C23&gt;G23,"Yes","No"))</f>
        <v/>
      </c>
      <c r="M23" s="7">
        <f>IF(OR($C23="",$C$12=""),"",IF(C23&gt;H23,"Yes","No"))</f>
        <v/>
      </c>
      <c r="N23" s="7">
        <f>IF(OR($C23="",$C$12=""),"",IF(COUNTIF(L21:L23,"Yes")&gt;=2,"Yes","No"))</f>
        <v/>
      </c>
      <c r="O23" s="18">
        <f>IF(OR($C23="",$C$12=""),"",IF(C23=0,1,1-_xlfn.BINOM.DIST(C23-1,D23,$C$12,TRUE)))</f>
        <v/>
      </c>
      <c r="P23" s="19">
        <f>IF(OR($C23="",$C$12=""),"",_xlfn.BINOM.INV(D23,$C$12,0.97725))</f>
        <v/>
      </c>
      <c r="Q23" s="19">
        <f>IF(OR($C23="",$C$12=""),"",_xlfn.BINOM.INV(D23,$C$12,0.99865))</f>
        <v/>
      </c>
      <c r="R23" s="17">
        <f>IF(OR($C23="",$C$12=""),"",(C23-E23)/F23)</f>
        <v/>
      </c>
      <c r="S23" s="17">
        <f>IF(OR($C23="",$C$12=""),"",MAX(0,IF(ISNUMBER(S22),S22,$C$11)+R23-$C$9))</f>
        <v/>
      </c>
      <c r="T23" s="7">
        <f>IF(OR($C23="",$C$12=""),"",IF(S23&gt;$C$10,"Yes","No"))</f>
        <v/>
      </c>
      <c r="U23" s="7">
        <f>IF(OR($C23="",$C$12=""),"",IF(M23="Yes","Beyond 3σ",IF(L23="Yes","Beyond 2σ","Within limits"))&amp;IF(N23="Yes","; 2 of 3 beyond 2σ",""))</f>
        <v/>
      </c>
      <c r="V23" s="7">
        <f>IF(OR($C23="",$C$12=""),"",IF(OR(M23="Yes",N23="Yes"),"Yes","No"))</f>
        <v/>
      </c>
      <c r="W23" s="20">
        <f>IF(ISNUMBER(C23),C23,NA())</f>
        <v/>
      </c>
      <c r="X23" s="20">
        <f>IF(ISNUMBER(E23),E23,NA())</f>
        <v/>
      </c>
      <c r="Y23" s="20">
        <f>IF(ISNUMBER(G23),G23,NA())</f>
        <v/>
      </c>
      <c r="Z23" s="20">
        <f>IF(ISNUMBER(H23),H23,NA())</f>
        <v/>
      </c>
      <c r="AA23" s="20">
        <f>IF(ISNUMBER(S23),S23,NA())</f>
        <v/>
      </c>
      <c r="AB23" s="21">
        <f>IF(ISNUMBER(S23),$C$10,NA())</f>
        <v/>
      </c>
    </row>
    <row r="24">
      <c r="A24" s="6" t="n"/>
      <c r="B24" s="11" t="n"/>
      <c r="C24" s="14" t="n"/>
      <c r="D24" s="15">
        <f>IF($C24="","",IF($B24="",$C$8,$B24))</f>
        <v/>
      </c>
      <c r="E24" s="16">
        <f>IF(OR($C24="",$C$12=""),"",D24*$C$12)</f>
        <v/>
      </c>
      <c r="F24" s="17">
        <f>IF(OR($C24="",$C$12=""),"",SQRT(D24*$C$12*(1-$C$12)))</f>
        <v/>
      </c>
      <c r="G24" s="16">
        <f>IF(OR($C24="",$C$12=""),"",E24+2*F24)</f>
        <v/>
      </c>
      <c r="H24" s="16">
        <f>IF(OR($C24="",$C$12=""),"",E24+3*F24)</f>
        <v/>
      </c>
      <c r="I24" s="17">
        <f>IF($C24="","",C24/D24*1000)</f>
        <v/>
      </c>
      <c r="J24" s="17">
        <f>IF(OR($C24="",$C$12=""),"",G24/D24*1000)</f>
        <v/>
      </c>
      <c r="K24" s="17">
        <f>IF(OR($C24="",$C$12=""),"",H24/D24*1000)</f>
        <v/>
      </c>
      <c r="L24" s="7">
        <f>IF(OR($C24="",$C$12=""),"",IF(C24&gt;G24,"Yes","No"))</f>
        <v/>
      </c>
      <c r="M24" s="7">
        <f>IF(OR($C24="",$C$12=""),"",IF(C24&gt;H24,"Yes","No"))</f>
        <v/>
      </c>
      <c r="N24" s="7">
        <f>IF(OR($C24="",$C$12=""),"",IF(COUNTIF(L22:L24,"Yes")&gt;=2,"Yes","No"))</f>
        <v/>
      </c>
      <c r="O24" s="18">
        <f>IF(OR($C24="",$C$12=""),"",IF(C24=0,1,1-_xlfn.BINOM.DIST(C24-1,D24,$C$12,TRUE)))</f>
        <v/>
      </c>
      <c r="P24" s="19">
        <f>IF(OR($C24="",$C$12=""),"",_xlfn.BINOM.INV(D24,$C$12,0.97725))</f>
        <v/>
      </c>
      <c r="Q24" s="19">
        <f>IF(OR($C24="",$C$12=""),"",_xlfn.BINOM.INV(D24,$C$12,0.99865))</f>
        <v/>
      </c>
      <c r="R24" s="17">
        <f>IF(OR($C24="",$C$12=""),"",(C24-E24)/F24)</f>
        <v/>
      </c>
      <c r="S24" s="17">
        <f>IF(OR($C24="",$C$12=""),"",MAX(0,IF(ISNUMBER(S23),S23,$C$11)+R24-$C$9))</f>
        <v/>
      </c>
      <c r="T24" s="7">
        <f>IF(OR($C24="",$C$12=""),"",IF(S24&gt;$C$10,"Yes","No"))</f>
        <v/>
      </c>
      <c r="U24" s="7">
        <f>IF(OR($C24="",$C$12=""),"",IF(M24="Yes","Beyond 3σ",IF(L24="Yes","Beyond 2σ","Within limits"))&amp;IF(N24="Yes","; 2 of 3 beyond 2σ",""))</f>
        <v/>
      </c>
      <c r="V24" s="7">
        <f>IF(OR($C24="",$C$12=""),"",IF(OR(M24="Yes",N24="Yes"),"Yes","No"))</f>
        <v/>
      </c>
      <c r="W24" s="20">
        <f>IF(ISNUMBER(C24),C24,NA())</f>
        <v/>
      </c>
      <c r="X24" s="20">
        <f>IF(ISNUMBER(E24),E24,NA())</f>
        <v/>
      </c>
      <c r="Y24" s="20">
        <f>IF(ISNUMBER(G24),G24,NA())</f>
        <v/>
      </c>
      <c r="Z24" s="20">
        <f>IF(ISNUMBER(H24),H24,NA())</f>
        <v/>
      </c>
      <c r="AA24" s="20">
        <f>IF(ISNUMBER(S24),S24,NA())</f>
        <v/>
      </c>
      <c r="AB24" s="21">
        <f>IF(ISNUMBER(S24),$C$10,NA())</f>
        <v/>
      </c>
    </row>
    <row r="25">
      <c r="A25" s="6" t="n"/>
      <c r="B25" s="11" t="n"/>
      <c r="C25" s="14" t="n"/>
      <c r="D25" s="15">
        <f>IF($C25="","",IF($B25="",$C$8,$B25))</f>
        <v/>
      </c>
      <c r="E25" s="16">
        <f>IF(OR($C25="",$C$12=""),"",D25*$C$12)</f>
        <v/>
      </c>
      <c r="F25" s="17">
        <f>IF(OR($C25="",$C$12=""),"",SQRT(D25*$C$12*(1-$C$12)))</f>
        <v/>
      </c>
      <c r="G25" s="16">
        <f>IF(OR($C25="",$C$12=""),"",E25+2*F25)</f>
        <v/>
      </c>
      <c r="H25" s="16">
        <f>IF(OR($C25="",$C$12=""),"",E25+3*F25)</f>
        <v/>
      </c>
      <c r="I25" s="17">
        <f>IF($C25="","",C25/D25*1000)</f>
        <v/>
      </c>
      <c r="J25" s="17">
        <f>IF(OR($C25="",$C$12=""),"",G25/D25*1000)</f>
        <v/>
      </c>
      <c r="K25" s="17">
        <f>IF(OR($C25="",$C$12=""),"",H25/D25*1000)</f>
        <v/>
      </c>
      <c r="L25" s="7">
        <f>IF(OR($C25="",$C$12=""),"",IF(C25&gt;G25,"Yes","No"))</f>
        <v/>
      </c>
      <c r="M25" s="7">
        <f>IF(OR($C25="",$C$12=""),"",IF(C25&gt;H25,"Yes","No"))</f>
        <v/>
      </c>
      <c r="N25" s="7">
        <f>IF(OR($C25="",$C$12=""),"",IF(COUNTIF(L23:L25,"Yes")&gt;=2,"Yes","No"))</f>
        <v/>
      </c>
      <c r="O25" s="18">
        <f>IF(OR($C25="",$C$12=""),"",IF(C25=0,1,1-_xlfn.BINOM.DIST(C25-1,D25,$C$12,TRUE)))</f>
        <v/>
      </c>
      <c r="P25" s="19">
        <f>IF(OR($C25="",$C$12=""),"",_xlfn.BINOM.INV(D25,$C$12,0.97725))</f>
        <v/>
      </c>
      <c r="Q25" s="19">
        <f>IF(OR($C25="",$C$12=""),"",_xlfn.BINOM.INV(D25,$C$12,0.99865))</f>
        <v/>
      </c>
      <c r="R25" s="17">
        <f>IF(OR($C25="",$C$12=""),"",(C25-E25)/F25)</f>
        <v/>
      </c>
      <c r="S25" s="17">
        <f>IF(OR($C25="",$C$12=""),"",MAX(0,IF(ISNUMBER(S24),S24,$C$11)+R25-$C$9))</f>
        <v/>
      </c>
      <c r="T25" s="7">
        <f>IF(OR($C25="",$C$12=""),"",IF(S25&gt;$C$10,"Yes","No"))</f>
        <v/>
      </c>
      <c r="U25" s="7">
        <f>IF(OR($C25="",$C$12=""),"",IF(M25="Yes","Beyond 3σ",IF(L25="Yes","Beyond 2σ","Within limits"))&amp;IF(N25="Yes","; 2 of 3 beyond 2σ",""))</f>
        <v/>
      </c>
      <c r="V25" s="7">
        <f>IF(OR($C25="",$C$12=""),"",IF(OR(M25="Yes",N25="Yes"),"Yes","No"))</f>
        <v/>
      </c>
      <c r="W25" s="20">
        <f>IF(ISNUMBER(C25),C25,NA())</f>
        <v/>
      </c>
      <c r="X25" s="20">
        <f>IF(ISNUMBER(E25),E25,NA())</f>
        <v/>
      </c>
      <c r="Y25" s="20">
        <f>IF(ISNUMBER(G25),G25,NA())</f>
        <v/>
      </c>
      <c r="Z25" s="20">
        <f>IF(ISNUMBER(H25),H25,NA())</f>
        <v/>
      </c>
      <c r="AA25" s="20">
        <f>IF(ISNUMBER(S25),S25,NA())</f>
        <v/>
      </c>
      <c r="AB25" s="21">
        <f>IF(ISNUMBER(S25),$C$10,NA())</f>
        <v/>
      </c>
    </row>
    <row r="26">
      <c r="A26" s="6" t="n"/>
      <c r="B26" s="11" t="n"/>
      <c r="C26" s="14" t="n"/>
      <c r="D26" s="15">
        <f>IF($C26="","",IF($B26="",$C$8,$B26))</f>
        <v/>
      </c>
      <c r="E26" s="16">
        <f>IF(OR($C26="",$C$12=""),"",D26*$C$12)</f>
        <v/>
      </c>
      <c r="F26" s="17">
        <f>IF(OR($C26="",$C$12=""),"",SQRT(D26*$C$12*(1-$C$12)))</f>
        <v/>
      </c>
      <c r="G26" s="16">
        <f>IF(OR($C26="",$C$12=""),"",E26+2*F26)</f>
        <v/>
      </c>
      <c r="H26" s="16">
        <f>IF(OR($C26="",$C$12=""),"",E26+3*F26)</f>
        <v/>
      </c>
      <c r="I26" s="17">
        <f>IF($C26="","",C26/D26*1000)</f>
        <v/>
      </c>
      <c r="J26" s="17">
        <f>IF(OR($C26="",$C$12=""),"",G26/D26*1000)</f>
        <v/>
      </c>
      <c r="K26" s="17">
        <f>IF(OR($C26="",$C$12=""),"",H26/D26*1000)</f>
        <v/>
      </c>
      <c r="L26" s="7">
        <f>IF(OR($C26="",$C$12=""),"",IF(C26&gt;G26,"Yes","No"))</f>
        <v/>
      </c>
      <c r="M26" s="7">
        <f>IF(OR($C26="",$C$12=""),"",IF(C26&gt;H26,"Yes","No"))</f>
        <v/>
      </c>
      <c r="N26" s="7">
        <f>IF(OR($C26="",$C$12=""),"",IF(COUNTIF(L24:L26,"Yes")&gt;=2,"Yes","No"))</f>
        <v/>
      </c>
      <c r="O26" s="18">
        <f>IF(OR($C26="",$C$12=""),"",IF(C26=0,1,1-_xlfn.BINOM.DIST(C26-1,D26,$C$12,TRUE)))</f>
        <v/>
      </c>
      <c r="P26" s="19">
        <f>IF(OR($C26="",$C$12=""),"",_xlfn.BINOM.INV(D26,$C$12,0.97725))</f>
        <v/>
      </c>
      <c r="Q26" s="19">
        <f>IF(OR($C26="",$C$12=""),"",_xlfn.BINOM.INV(D26,$C$12,0.99865))</f>
        <v/>
      </c>
      <c r="R26" s="17">
        <f>IF(OR($C26="",$C$12=""),"",(C26-E26)/F26)</f>
        <v/>
      </c>
      <c r="S26" s="17">
        <f>IF(OR($C26="",$C$12=""),"",MAX(0,IF(ISNUMBER(S25),S25,$C$11)+R26-$C$9))</f>
        <v/>
      </c>
      <c r="T26" s="7">
        <f>IF(OR($C26="",$C$12=""),"",IF(S26&gt;$C$10,"Yes","No"))</f>
        <v/>
      </c>
      <c r="U26" s="7">
        <f>IF(OR($C26="",$C$12=""),"",IF(M26="Yes","Beyond 3σ",IF(L26="Yes","Beyond 2σ","Within limits"))&amp;IF(N26="Yes","; 2 of 3 beyond 2σ",""))</f>
        <v/>
      </c>
      <c r="V26" s="7">
        <f>IF(OR($C26="",$C$12=""),"",IF(OR(M26="Yes",N26="Yes"),"Yes","No"))</f>
        <v/>
      </c>
      <c r="W26" s="20">
        <f>IF(ISNUMBER(C26),C26,NA())</f>
        <v/>
      </c>
      <c r="X26" s="20">
        <f>IF(ISNUMBER(E26),E26,NA())</f>
        <v/>
      </c>
      <c r="Y26" s="20">
        <f>IF(ISNUMBER(G26),G26,NA())</f>
        <v/>
      </c>
      <c r="Z26" s="20">
        <f>IF(ISNUMBER(H26),H26,NA())</f>
        <v/>
      </c>
      <c r="AA26" s="20">
        <f>IF(ISNUMBER(S26),S26,NA())</f>
        <v/>
      </c>
      <c r="AB26" s="21">
        <f>IF(ISNUMBER(S26),$C$10,NA())</f>
        <v/>
      </c>
    </row>
    <row r="27">
      <c r="A27" s="6" t="n"/>
      <c r="B27" s="11" t="n"/>
      <c r="C27" s="14" t="n"/>
      <c r="D27" s="15">
        <f>IF($C27="","",IF($B27="",$C$8,$B27))</f>
        <v/>
      </c>
      <c r="E27" s="16">
        <f>IF(OR($C27="",$C$12=""),"",D27*$C$12)</f>
        <v/>
      </c>
      <c r="F27" s="17">
        <f>IF(OR($C27="",$C$12=""),"",SQRT(D27*$C$12*(1-$C$12)))</f>
        <v/>
      </c>
      <c r="G27" s="16">
        <f>IF(OR($C27="",$C$12=""),"",E27+2*F27)</f>
        <v/>
      </c>
      <c r="H27" s="16">
        <f>IF(OR($C27="",$C$12=""),"",E27+3*F27)</f>
        <v/>
      </c>
      <c r="I27" s="17">
        <f>IF($C27="","",C27/D27*1000)</f>
        <v/>
      </c>
      <c r="J27" s="17">
        <f>IF(OR($C27="",$C$12=""),"",G27/D27*1000)</f>
        <v/>
      </c>
      <c r="K27" s="17">
        <f>IF(OR($C27="",$C$12=""),"",H27/D27*1000)</f>
        <v/>
      </c>
      <c r="L27" s="7">
        <f>IF(OR($C27="",$C$12=""),"",IF(C27&gt;G27,"Yes","No"))</f>
        <v/>
      </c>
      <c r="M27" s="7">
        <f>IF(OR($C27="",$C$12=""),"",IF(C27&gt;H27,"Yes","No"))</f>
        <v/>
      </c>
      <c r="N27" s="7">
        <f>IF(OR($C27="",$C$12=""),"",IF(COUNTIF(L25:L27,"Yes")&gt;=2,"Yes","No"))</f>
        <v/>
      </c>
      <c r="O27" s="18">
        <f>IF(OR($C27="",$C$12=""),"",IF(C27=0,1,1-_xlfn.BINOM.DIST(C27-1,D27,$C$12,TRUE)))</f>
        <v/>
      </c>
      <c r="P27" s="19">
        <f>IF(OR($C27="",$C$12=""),"",_xlfn.BINOM.INV(D27,$C$12,0.97725))</f>
        <v/>
      </c>
      <c r="Q27" s="19">
        <f>IF(OR($C27="",$C$12=""),"",_xlfn.BINOM.INV(D27,$C$12,0.99865))</f>
        <v/>
      </c>
      <c r="R27" s="17">
        <f>IF(OR($C27="",$C$12=""),"",(C27-E27)/F27)</f>
        <v/>
      </c>
      <c r="S27" s="17">
        <f>IF(OR($C27="",$C$12=""),"",MAX(0,IF(ISNUMBER(S26),S26,$C$11)+R27-$C$9))</f>
        <v/>
      </c>
      <c r="T27" s="7">
        <f>IF(OR($C27="",$C$12=""),"",IF(S27&gt;$C$10,"Yes","No"))</f>
        <v/>
      </c>
      <c r="U27" s="7">
        <f>IF(OR($C27="",$C$12=""),"",IF(M27="Yes","Beyond 3σ",IF(L27="Yes","Beyond 2σ","Within limits"))&amp;IF(N27="Yes","; 2 of 3 beyond 2σ",""))</f>
        <v/>
      </c>
      <c r="V27" s="7">
        <f>IF(OR($C27="",$C$12=""),"",IF(OR(M27="Yes",N27="Yes"),"Yes","No"))</f>
        <v/>
      </c>
      <c r="W27" s="20">
        <f>IF(ISNUMBER(C27),C27,NA())</f>
        <v/>
      </c>
      <c r="X27" s="20">
        <f>IF(ISNUMBER(E27),E27,NA())</f>
        <v/>
      </c>
      <c r="Y27" s="20">
        <f>IF(ISNUMBER(G27),G27,NA())</f>
        <v/>
      </c>
      <c r="Z27" s="20">
        <f>IF(ISNUMBER(H27),H27,NA())</f>
        <v/>
      </c>
      <c r="AA27" s="20">
        <f>IF(ISNUMBER(S27),S27,NA())</f>
        <v/>
      </c>
      <c r="AB27" s="21">
        <f>IF(ISNUMBER(S27),$C$10,NA())</f>
        <v/>
      </c>
    </row>
    <row r="28">
      <c r="A28" s="6" t="n"/>
      <c r="B28" s="11" t="n"/>
      <c r="C28" s="14" t="n"/>
      <c r="D28" s="15">
        <f>IF($C28="","",IF($B28="",$C$8,$B28))</f>
        <v/>
      </c>
      <c r="E28" s="16">
        <f>IF(OR($C28="",$C$12=""),"",D28*$C$12)</f>
        <v/>
      </c>
      <c r="F28" s="17">
        <f>IF(OR($C28="",$C$12=""),"",SQRT(D28*$C$12*(1-$C$12)))</f>
        <v/>
      </c>
      <c r="G28" s="16">
        <f>IF(OR($C28="",$C$12=""),"",E28+2*F28)</f>
        <v/>
      </c>
      <c r="H28" s="16">
        <f>IF(OR($C28="",$C$12=""),"",E28+3*F28)</f>
        <v/>
      </c>
      <c r="I28" s="17">
        <f>IF($C28="","",C28/D28*1000)</f>
        <v/>
      </c>
      <c r="J28" s="17">
        <f>IF(OR($C28="",$C$12=""),"",G28/D28*1000)</f>
        <v/>
      </c>
      <c r="K28" s="17">
        <f>IF(OR($C28="",$C$12=""),"",H28/D28*1000)</f>
        <v/>
      </c>
      <c r="L28" s="7">
        <f>IF(OR($C28="",$C$12=""),"",IF(C28&gt;G28,"Yes","No"))</f>
        <v/>
      </c>
      <c r="M28" s="7">
        <f>IF(OR($C28="",$C$12=""),"",IF(C28&gt;H28,"Yes","No"))</f>
        <v/>
      </c>
      <c r="N28" s="7">
        <f>IF(OR($C28="",$C$12=""),"",IF(COUNTIF(L26:L28,"Yes")&gt;=2,"Yes","No"))</f>
        <v/>
      </c>
      <c r="O28" s="18">
        <f>IF(OR($C28="",$C$12=""),"",IF(C28=0,1,1-_xlfn.BINOM.DIST(C28-1,D28,$C$12,TRUE)))</f>
        <v/>
      </c>
      <c r="P28" s="19">
        <f>IF(OR($C28="",$C$12=""),"",_xlfn.BINOM.INV(D28,$C$12,0.97725))</f>
        <v/>
      </c>
      <c r="Q28" s="19">
        <f>IF(OR($C28="",$C$12=""),"",_xlfn.BINOM.INV(D28,$C$12,0.99865))</f>
        <v/>
      </c>
      <c r="R28" s="17">
        <f>IF(OR($C28="",$C$12=""),"",(C28-E28)/F28)</f>
        <v/>
      </c>
      <c r="S28" s="17">
        <f>IF(OR($C28="",$C$12=""),"",MAX(0,IF(ISNUMBER(S27),S27,$C$11)+R28-$C$9))</f>
        <v/>
      </c>
      <c r="T28" s="7">
        <f>IF(OR($C28="",$C$12=""),"",IF(S28&gt;$C$10,"Yes","No"))</f>
        <v/>
      </c>
      <c r="U28" s="7">
        <f>IF(OR($C28="",$C$12=""),"",IF(M28="Yes","Beyond 3σ",IF(L28="Yes","Beyond 2σ","Within limits"))&amp;IF(N28="Yes","; 2 of 3 beyond 2σ",""))</f>
        <v/>
      </c>
      <c r="V28" s="7">
        <f>IF(OR($C28="",$C$12=""),"",IF(OR(M28="Yes",N28="Yes"),"Yes","No"))</f>
        <v/>
      </c>
      <c r="W28" s="20">
        <f>IF(ISNUMBER(C28),C28,NA())</f>
        <v/>
      </c>
      <c r="X28" s="20">
        <f>IF(ISNUMBER(E28),E28,NA())</f>
        <v/>
      </c>
      <c r="Y28" s="20">
        <f>IF(ISNUMBER(G28),G28,NA())</f>
        <v/>
      </c>
      <c r="Z28" s="20">
        <f>IF(ISNUMBER(H28),H28,NA())</f>
        <v/>
      </c>
      <c r="AA28" s="20">
        <f>IF(ISNUMBER(S28),S28,NA())</f>
        <v/>
      </c>
      <c r="AB28" s="21">
        <f>IF(ISNUMBER(S28),$C$10,NA())</f>
        <v/>
      </c>
    </row>
    <row r="29">
      <c r="A29" s="6" t="n"/>
      <c r="B29" s="11" t="n"/>
      <c r="C29" s="14" t="n"/>
      <c r="D29" s="15">
        <f>IF($C29="","",IF($B29="",$C$8,$B29))</f>
        <v/>
      </c>
      <c r="E29" s="16">
        <f>IF(OR($C29="",$C$12=""),"",D29*$C$12)</f>
        <v/>
      </c>
      <c r="F29" s="17">
        <f>IF(OR($C29="",$C$12=""),"",SQRT(D29*$C$12*(1-$C$12)))</f>
        <v/>
      </c>
      <c r="G29" s="16">
        <f>IF(OR($C29="",$C$12=""),"",E29+2*F29)</f>
        <v/>
      </c>
      <c r="H29" s="16">
        <f>IF(OR($C29="",$C$12=""),"",E29+3*F29)</f>
        <v/>
      </c>
      <c r="I29" s="17">
        <f>IF($C29="","",C29/D29*1000)</f>
        <v/>
      </c>
      <c r="J29" s="17">
        <f>IF(OR($C29="",$C$12=""),"",G29/D29*1000)</f>
        <v/>
      </c>
      <c r="K29" s="17">
        <f>IF(OR($C29="",$C$12=""),"",H29/D29*1000)</f>
        <v/>
      </c>
      <c r="L29" s="7">
        <f>IF(OR($C29="",$C$12=""),"",IF(C29&gt;G29,"Yes","No"))</f>
        <v/>
      </c>
      <c r="M29" s="7">
        <f>IF(OR($C29="",$C$12=""),"",IF(C29&gt;H29,"Yes","No"))</f>
        <v/>
      </c>
      <c r="N29" s="7">
        <f>IF(OR($C29="",$C$12=""),"",IF(COUNTIF(L27:L29,"Yes")&gt;=2,"Yes","No"))</f>
        <v/>
      </c>
      <c r="O29" s="18">
        <f>IF(OR($C29="",$C$12=""),"",IF(C29=0,1,1-_xlfn.BINOM.DIST(C29-1,D29,$C$12,TRUE)))</f>
        <v/>
      </c>
      <c r="P29" s="19">
        <f>IF(OR($C29="",$C$12=""),"",_xlfn.BINOM.INV(D29,$C$12,0.97725))</f>
        <v/>
      </c>
      <c r="Q29" s="19">
        <f>IF(OR($C29="",$C$12=""),"",_xlfn.BINOM.INV(D29,$C$12,0.99865))</f>
        <v/>
      </c>
      <c r="R29" s="17">
        <f>IF(OR($C29="",$C$12=""),"",(C29-E29)/F29)</f>
        <v/>
      </c>
      <c r="S29" s="17">
        <f>IF(OR($C29="",$C$12=""),"",MAX(0,IF(ISNUMBER(S28),S28,$C$11)+R29-$C$9))</f>
        <v/>
      </c>
      <c r="T29" s="7">
        <f>IF(OR($C29="",$C$12=""),"",IF(S29&gt;$C$10,"Yes","No"))</f>
        <v/>
      </c>
      <c r="U29" s="7">
        <f>IF(OR($C29="",$C$12=""),"",IF(M29="Yes","Beyond 3σ",IF(L29="Yes","Beyond 2σ","Within limits"))&amp;IF(N29="Yes","; 2 of 3 beyond 2σ",""))</f>
        <v/>
      </c>
      <c r="V29" s="7">
        <f>IF(OR($C29="",$C$12=""),"",IF(OR(M29="Yes",N29="Yes"),"Yes","No"))</f>
        <v/>
      </c>
      <c r="W29" s="20">
        <f>IF(ISNUMBER(C29),C29,NA())</f>
        <v/>
      </c>
      <c r="X29" s="20">
        <f>IF(ISNUMBER(E29),E29,NA())</f>
        <v/>
      </c>
      <c r="Y29" s="20">
        <f>IF(ISNUMBER(G29),G29,NA())</f>
        <v/>
      </c>
      <c r="Z29" s="20">
        <f>IF(ISNUMBER(H29),H29,NA())</f>
        <v/>
      </c>
      <c r="AA29" s="20">
        <f>IF(ISNUMBER(S29),S29,NA())</f>
        <v/>
      </c>
      <c r="AB29" s="21">
        <f>IF(ISNUMBER(S29),$C$10,NA())</f>
        <v/>
      </c>
    </row>
    <row r="30">
      <c r="A30" s="6" t="n"/>
      <c r="B30" s="11" t="n"/>
      <c r="C30" s="14" t="n"/>
      <c r="D30" s="15">
        <f>IF($C30="","",IF($B30="",$C$8,$B30))</f>
        <v/>
      </c>
      <c r="E30" s="16">
        <f>IF(OR($C30="",$C$12=""),"",D30*$C$12)</f>
        <v/>
      </c>
      <c r="F30" s="17">
        <f>IF(OR($C30="",$C$12=""),"",SQRT(D30*$C$12*(1-$C$12)))</f>
        <v/>
      </c>
      <c r="G30" s="16">
        <f>IF(OR($C30="",$C$12=""),"",E30+2*F30)</f>
        <v/>
      </c>
      <c r="H30" s="16">
        <f>IF(OR($C30="",$C$12=""),"",E30+3*F30)</f>
        <v/>
      </c>
      <c r="I30" s="17">
        <f>IF($C30="","",C30/D30*1000)</f>
        <v/>
      </c>
      <c r="J30" s="17">
        <f>IF(OR($C30="",$C$12=""),"",G30/D30*1000)</f>
        <v/>
      </c>
      <c r="K30" s="17">
        <f>IF(OR($C30="",$C$12=""),"",H30/D30*1000)</f>
        <v/>
      </c>
      <c r="L30" s="7">
        <f>IF(OR($C30="",$C$12=""),"",IF(C30&gt;G30,"Yes","No"))</f>
        <v/>
      </c>
      <c r="M30" s="7">
        <f>IF(OR($C30="",$C$12=""),"",IF(C30&gt;H30,"Yes","No"))</f>
        <v/>
      </c>
      <c r="N30" s="7">
        <f>IF(OR($C30="",$C$12=""),"",IF(COUNTIF(L28:L30,"Yes")&gt;=2,"Yes","No"))</f>
        <v/>
      </c>
      <c r="O30" s="18">
        <f>IF(OR($C30="",$C$12=""),"",IF(C30=0,1,1-_xlfn.BINOM.DIST(C30-1,D30,$C$12,TRUE)))</f>
        <v/>
      </c>
      <c r="P30" s="19">
        <f>IF(OR($C30="",$C$12=""),"",_xlfn.BINOM.INV(D30,$C$12,0.97725))</f>
        <v/>
      </c>
      <c r="Q30" s="19">
        <f>IF(OR($C30="",$C$12=""),"",_xlfn.BINOM.INV(D30,$C$12,0.99865))</f>
        <v/>
      </c>
      <c r="R30" s="17">
        <f>IF(OR($C30="",$C$12=""),"",(C30-E30)/F30)</f>
        <v/>
      </c>
      <c r="S30" s="17">
        <f>IF(OR($C30="",$C$12=""),"",MAX(0,IF(ISNUMBER(S29),S29,$C$11)+R30-$C$9))</f>
        <v/>
      </c>
      <c r="T30" s="7">
        <f>IF(OR($C30="",$C$12=""),"",IF(S30&gt;$C$10,"Yes","No"))</f>
        <v/>
      </c>
      <c r="U30" s="7">
        <f>IF(OR($C30="",$C$12=""),"",IF(M30="Yes","Beyond 3σ",IF(L30="Yes","Beyond 2σ","Within limits"))&amp;IF(N30="Yes","; 2 of 3 beyond 2σ",""))</f>
        <v/>
      </c>
      <c r="V30" s="7">
        <f>IF(OR($C30="",$C$12=""),"",IF(OR(M30="Yes",N30="Yes"),"Yes","No"))</f>
        <v/>
      </c>
      <c r="W30" s="20">
        <f>IF(ISNUMBER(C30),C30,NA())</f>
        <v/>
      </c>
      <c r="X30" s="20">
        <f>IF(ISNUMBER(E30),E30,NA())</f>
        <v/>
      </c>
      <c r="Y30" s="20">
        <f>IF(ISNUMBER(G30),G30,NA())</f>
        <v/>
      </c>
      <c r="Z30" s="20">
        <f>IF(ISNUMBER(H30),H30,NA())</f>
        <v/>
      </c>
      <c r="AA30" s="20">
        <f>IF(ISNUMBER(S30),S30,NA())</f>
        <v/>
      </c>
      <c r="AB30" s="21">
        <f>IF(ISNUMBER(S30),$C$10,NA())</f>
        <v/>
      </c>
    </row>
    <row r="31">
      <c r="A31" s="6" t="n"/>
      <c r="B31" s="11" t="n"/>
      <c r="C31" s="14" t="n"/>
      <c r="D31" s="15">
        <f>IF($C31="","",IF($B31="",$C$8,$B31))</f>
        <v/>
      </c>
      <c r="E31" s="16">
        <f>IF(OR($C31="",$C$12=""),"",D31*$C$12)</f>
        <v/>
      </c>
      <c r="F31" s="17">
        <f>IF(OR($C31="",$C$12=""),"",SQRT(D31*$C$12*(1-$C$12)))</f>
        <v/>
      </c>
      <c r="G31" s="16">
        <f>IF(OR($C31="",$C$12=""),"",E31+2*F31)</f>
        <v/>
      </c>
      <c r="H31" s="16">
        <f>IF(OR($C31="",$C$12=""),"",E31+3*F31)</f>
        <v/>
      </c>
      <c r="I31" s="17">
        <f>IF($C31="","",C31/D31*1000)</f>
        <v/>
      </c>
      <c r="J31" s="17">
        <f>IF(OR($C31="",$C$12=""),"",G31/D31*1000)</f>
        <v/>
      </c>
      <c r="K31" s="17">
        <f>IF(OR($C31="",$C$12=""),"",H31/D31*1000)</f>
        <v/>
      </c>
      <c r="L31" s="7">
        <f>IF(OR($C31="",$C$12=""),"",IF(C31&gt;G31,"Yes","No"))</f>
        <v/>
      </c>
      <c r="M31" s="7">
        <f>IF(OR($C31="",$C$12=""),"",IF(C31&gt;H31,"Yes","No"))</f>
        <v/>
      </c>
      <c r="N31" s="7">
        <f>IF(OR($C31="",$C$12=""),"",IF(COUNTIF(L29:L31,"Yes")&gt;=2,"Yes","No"))</f>
        <v/>
      </c>
      <c r="O31" s="18">
        <f>IF(OR($C31="",$C$12=""),"",IF(C31=0,1,1-_xlfn.BINOM.DIST(C31-1,D31,$C$12,TRUE)))</f>
        <v/>
      </c>
      <c r="P31" s="19">
        <f>IF(OR($C31="",$C$12=""),"",_xlfn.BINOM.INV(D31,$C$12,0.97725))</f>
        <v/>
      </c>
      <c r="Q31" s="19">
        <f>IF(OR($C31="",$C$12=""),"",_xlfn.BINOM.INV(D31,$C$12,0.99865))</f>
        <v/>
      </c>
      <c r="R31" s="17">
        <f>IF(OR($C31="",$C$12=""),"",(C31-E31)/F31)</f>
        <v/>
      </c>
      <c r="S31" s="17">
        <f>IF(OR($C31="",$C$12=""),"",MAX(0,IF(ISNUMBER(S30),S30,$C$11)+R31-$C$9))</f>
        <v/>
      </c>
      <c r="T31" s="7">
        <f>IF(OR($C31="",$C$12=""),"",IF(S31&gt;$C$10,"Yes","No"))</f>
        <v/>
      </c>
      <c r="U31" s="7">
        <f>IF(OR($C31="",$C$12=""),"",IF(M31="Yes","Beyond 3σ",IF(L31="Yes","Beyond 2σ","Within limits"))&amp;IF(N31="Yes","; 2 of 3 beyond 2σ",""))</f>
        <v/>
      </c>
      <c r="V31" s="7">
        <f>IF(OR($C31="",$C$12=""),"",IF(OR(M31="Yes",N31="Yes"),"Yes","No"))</f>
        <v/>
      </c>
      <c r="W31" s="20">
        <f>IF(ISNUMBER(C31),C31,NA())</f>
        <v/>
      </c>
      <c r="X31" s="20">
        <f>IF(ISNUMBER(E31),E31,NA())</f>
        <v/>
      </c>
      <c r="Y31" s="20">
        <f>IF(ISNUMBER(G31),G31,NA())</f>
        <v/>
      </c>
      <c r="Z31" s="20">
        <f>IF(ISNUMBER(H31),H31,NA())</f>
        <v/>
      </c>
      <c r="AA31" s="20">
        <f>IF(ISNUMBER(S31),S31,NA())</f>
        <v/>
      </c>
      <c r="AB31" s="21">
        <f>IF(ISNUMBER(S31),$C$10,NA())</f>
        <v/>
      </c>
    </row>
    <row r="32">
      <c r="A32" s="6" t="n"/>
      <c r="B32" s="11" t="n"/>
      <c r="C32" s="14" t="n"/>
      <c r="D32" s="15">
        <f>IF($C32="","",IF($B32="",$C$8,$B32))</f>
        <v/>
      </c>
      <c r="E32" s="16">
        <f>IF(OR($C32="",$C$12=""),"",D32*$C$12)</f>
        <v/>
      </c>
      <c r="F32" s="17">
        <f>IF(OR($C32="",$C$12=""),"",SQRT(D32*$C$12*(1-$C$12)))</f>
        <v/>
      </c>
      <c r="G32" s="16">
        <f>IF(OR($C32="",$C$12=""),"",E32+2*F32)</f>
        <v/>
      </c>
      <c r="H32" s="16">
        <f>IF(OR($C32="",$C$12=""),"",E32+3*F32)</f>
        <v/>
      </c>
      <c r="I32" s="17">
        <f>IF($C32="","",C32/D32*1000)</f>
        <v/>
      </c>
      <c r="J32" s="17">
        <f>IF(OR($C32="",$C$12=""),"",G32/D32*1000)</f>
        <v/>
      </c>
      <c r="K32" s="17">
        <f>IF(OR($C32="",$C$12=""),"",H32/D32*1000)</f>
        <v/>
      </c>
      <c r="L32" s="7">
        <f>IF(OR($C32="",$C$12=""),"",IF(C32&gt;G32,"Yes","No"))</f>
        <v/>
      </c>
      <c r="M32" s="7">
        <f>IF(OR($C32="",$C$12=""),"",IF(C32&gt;H32,"Yes","No"))</f>
        <v/>
      </c>
      <c r="N32" s="7">
        <f>IF(OR($C32="",$C$12=""),"",IF(COUNTIF(L30:L32,"Yes")&gt;=2,"Yes","No"))</f>
        <v/>
      </c>
      <c r="O32" s="18">
        <f>IF(OR($C32="",$C$12=""),"",IF(C32=0,1,1-_xlfn.BINOM.DIST(C32-1,D32,$C$12,TRUE)))</f>
        <v/>
      </c>
      <c r="P32" s="19">
        <f>IF(OR($C32="",$C$12=""),"",_xlfn.BINOM.INV(D32,$C$12,0.97725))</f>
        <v/>
      </c>
      <c r="Q32" s="19">
        <f>IF(OR($C32="",$C$12=""),"",_xlfn.BINOM.INV(D32,$C$12,0.99865))</f>
        <v/>
      </c>
      <c r="R32" s="17">
        <f>IF(OR($C32="",$C$12=""),"",(C32-E32)/F32)</f>
        <v/>
      </c>
      <c r="S32" s="17">
        <f>IF(OR($C32="",$C$12=""),"",MAX(0,IF(ISNUMBER(S31),S31,$C$11)+R32-$C$9))</f>
        <v/>
      </c>
      <c r="T32" s="7">
        <f>IF(OR($C32="",$C$12=""),"",IF(S32&gt;$C$10,"Yes","No"))</f>
        <v/>
      </c>
      <c r="U32" s="7">
        <f>IF(OR($C32="",$C$12=""),"",IF(M32="Yes","Beyond 3σ",IF(L32="Yes","Beyond 2σ","Within limits"))&amp;IF(N32="Yes","; 2 of 3 beyond 2σ",""))</f>
        <v/>
      </c>
      <c r="V32" s="7">
        <f>IF(OR($C32="",$C$12=""),"",IF(OR(M32="Yes",N32="Yes"),"Yes","No"))</f>
        <v/>
      </c>
      <c r="W32" s="20">
        <f>IF(ISNUMBER(C32),C32,NA())</f>
        <v/>
      </c>
      <c r="X32" s="20">
        <f>IF(ISNUMBER(E32),E32,NA())</f>
        <v/>
      </c>
      <c r="Y32" s="20">
        <f>IF(ISNUMBER(G32),G32,NA())</f>
        <v/>
      </c>
      <c r="Z32" s="20">
        <f>IF(ISNUMBER(H32),H32,NA())</f>
        <v/>
      </c>
      <c r="AA32" s="20">
        <f>IF(ISNUMBER(S32),S32,NA())</f>
        <v/>
      </c>
      <c r="AB32" s="21">
        <f>IF(ISNUMBER(S32),$C$10,NA())</f>
        <v/>
      </c>
    </row>
    <row r="33">
      <c r="A33" s="6" t="n"/>
      <c r="B33" s="11" t="n"/>
      <c r="C33" s="14" t="n"/>
      <c r="D33" s="15">
        <f>IF($C33="","",IF($B33="",$C$8,$B33))</f>
        <v/>
      </c>
      <c r="E33" s="16">
        <f>IF(OR($C33="",$C$12=""),"",D33*$C$12)</f>
        <v/>
      </c>
      <c r="F33" s="17">
        <f>IF(OR($C33="",$C$12=""),"",SQRT(D33*$C$12*(1-$C$12)))</f>
        <v/>
      </c>
      <c r="G33" s="16">
        <f>IF(OR($C33="",$C$12=""),"",E33+2*F33)</f>
        <v/>
      </c>
      <c r="H33" s="16">
        <f>IF(OR($C33="",$C$12=""),"",E33+3*F33)</f>
        <v/>
      </c>
      <c r="I33" s="17">
        <f>IF($C33="","",C33/D33*1000)</f>
        <v/>
      </c>
      <c r="J33" s="17">
        <f>IF(OR($C33="",$C$12=""),"",G33/D33*1000)</f>
        <v/>
      </c>
      <c r="K33" s="17">
        <f>IF(OR($C33="",$C$12=""),"",H33/D33*1000)</f>
        <v/>
      </c>
      <c r="L33" s="7">
        <f>IF(OR($C33="",$C$12=""),"",IF(C33&gt;G33,"Yes","No"))</f>
        <v/>
      </c>
      <c r="M33" s="7">
        <f>IF(OR($C33="",$C$12=""),"",IF(C33&gt;H33,"Yes","No"))</f>
        <v/>
      </c>
      <c r="N33" s="7">
        <f>IF(OR($C33="",$C$12=""),"",IF(COUNTIF(L31:L33,"Yes")&gt;=2,"Yes","No"))</f>
        <v/>
      </c>
      <c r="O33" s="18">
        <f>IF(OR($C33="",$C$12=""),"",IF(C33=0,1,1-_xlfn.BINOM.DIST(C33-1,D33,$C$12,TRUE)))</f>
        <v/>
      </c>
      <c r="P33" s="19">
        <f>IF(OR($C33="",$C$12=""),"",_xlfn.BINOM.INV(D33,$C$12,0.97725))</f>
        <v/>
      </c>
      <c r="Q33" s="19">
        <f>IF(OR($C33="",$C$12=""),"",_xlfn.BINOM.INV(D33,$C$12,0.99865))</f>
        <v/>
      </c>
      <c r="R33" s="17">
        <f>IF(OR($C33="",$C$12=""),"",(C33-E33)/F33)</f>
        <v/>
      </c>
      <c r="S33" s="17">
        <f>IF(OR($C33="",$C$12=""),"",MAX(0,IF(ISNUMBER(S32),S32,$C$11)+R33-$C$9))</f>
        <v/>
      </c>
      <c r="T33" s="7">
        <f>IF(OR($C33="",$C$12=""),"",IF(S33&gt;$C$10,"Yes","No"))</f>
        <v/>
      </c>
      <c r="U33" s="7">
        <f>IF(OR($C33="",$C$12=""),"",IF(M33="Yes","Beyond 3σ",IF(L33="Yes","Beyond 2σ","Within limits"))&amp;IF(N33="Yes","; 2 of 3 beyond 2σ",""))</f>
        <v/>
      </c>
      <c r="V33" s="7">
        <f>IF(OR($C33="",$C$12=""),"",IF(OR(M33="Yes",N33="Yes"),"Yes","No"))</f>
        <v/>
      </c>
      <c r="W33" s="20">
        <f>IF(ISNUMBER(C33),C33,NA())</f>
        <v/>
      </c>
      <c r="X33" s="20">
        <f>IF(ISNUMBER(E33),E33,NA())</f>
        <v/>
      </c>
      <c r="Y33" s="20">
        <f>IF(ISNUMBER(G33),G33,NA())</f>
        <v/>
      </c>
      <c r="Z33" s="20">
        <f>IF(ISNUMBER(H33),H33,NA())</f>
        <v/>
      </c>
      <c r="AA33" s="20">
        <f>IF(ISNUMBER(S33),S33,NA())</f>
        <v/>
      </c>
      <c r="AB33" s="21">
        <f>IF(ISNUMBER(S33),$C$10,NA())</f>
        <v/>
      </c>
    </row>
    <row r="34">
      <c r="A34" s="6" t="n"/>
      <c r="B34" s="11" t="n"/>
      <c r="C34" s="14" t="n"/>
      <c r="D34" s="15">
        <f>IF($C34="","",IF($B34="",$C$8,$B34))</f>
        <v/>
      </c>
      <c r="E34" s="16">
        <f>IF(OR($C34="",$C$12=""),"",D34*$C$12)</f>
        <v/>
      </c>
      <c r="F34" s="17">
        <f>IF(OR($C34="",$C$12=""),"",SQRT(D34*$C$12*(1-$C$12)))</f>
        <v/>
      </c>
      <c r="G34" s="16">
        <f>IF(OR($C34="",$C$12=""),"",E34+2*F34)</f>
        <v/>
      </c>
      <c r="H34" s="16">
        <f>IF(OR($C34="",$C$12=""),"",E34+3*F34)</f>
        <v/>
      </c>
      <c r="I34" s="17">
        <f>IF($C34="","",C34/D34*1000)</f>
        <v/>
      </c>
      <c r="J34" s="17">
        <f>IF(OR($C34="",$C$12=""),"",G34/D34*1000)</f>
        <v/>
      </c>
      <c r="K34" s="17">
        <f>IF(OR($C34="",$C$12=""),"",H34/D34*1000)</f>
        <v/>
      </c>
      <c r="L34" s="7">
        <f>IF(OR($C34="",$C$12=""),"",IF(C34&gt;G34,"Yes","No"))</f>
        <v/>
      </c>
      <c r="M34" s="7">
        <f>IF(OR($C34="",$C$12=""),"",IF(C34&gt;H34,"Yes","No"))</f>
        <v/>
      </c>
      <c r="N34" s="7">
        <f>IF(OR($C34="",$C$12=""),"",IF(COUNTIF(L32:L34,"Yes")&gt;=2,"Yes","No"))</f>
        <v/>
      </c>
      <c r="O34" s="18">
        <f>IF(OR($C34="",$C$12=""),"",IF(C34=0,1,1-_xlfn.BINOM.DIST(C34-1,D34,$C$12,TRUE)))</f>
        <v/>
      </c>
      <c r="P34" s="19">
        <f>IF(OR($C34="",$C$12=""),"",_xlfn.BINOM.INV(D34,$C$12,0.97725))</f>
        <v/>
      </c>
      <c r="Q34" s="19">
        <f>IF(OR($C34="",$C$12=""),"",_xlfn.BINOM.INV(D34,$C$12,0.99865))</f>
        <v/>
      </c>
      <c r="R34" s="17">
        <f>IF(OR($C34="",$C$12=""),"",(C34-E34)/F34)</f>
        <v/>
      </c>
      <c r="S34" s="17">
        <f>IF(OR($C34="",$C$12=""),"",MAX(0,IF(ISNUMBER(S33),S33,$C$11)+R34-$C$9))</f>
        <v/>
      </c>
      <c r="T34" s="7">
        <f>IF(OR($C34="",$C$12=""),"",IF(S34&gt;$C$10,"Yes","No"))</f>
        <v/>
      </c>
      <c r="U34" s="7">
        <f>IF(OR($C34="",$C$12=""),"",IF(M34="Yes","Beyond 3σ",IF(L34="Yes","Beyond 2σ","Within limits"))&amp;IF(N34="Yes","; 2 of 3 beyond 2σ",""))</f>
        <v/>
      </c>
      <c r="V34" s="7">
        <f>IF(OR($C34="",$C$12=""),"",IF(OR(M34="Yes",N34="Yes"),"Yes","No"))</f>
        <v/>
      </c>
      <c r="W34" s="20">
        <f>IF(ISNUMBER(C34),C34,NA())</f>
        <v/>
      </c>
      <c r="X34" s="20">
        <f>IF(ISNUMBER(E34),E34,NA())</f>
        <v/>
      </c>
      <c r="Y34" s="20">
        <f>IF(ISNUMBER(G34),G34,NA())</f>
        <v/>
      </c>
      <c r="Z34" s="20">
        <f>IF(ISNUMBER(H34),H34,NA())</f>
        <v/>
      </c>
      <c r="AA34" s="20">
        <f>IF(ISNUMBER(S34),S34,NA())</f>
        <v/>
      </c>
      <c r="AB34" s="21">
        <f>IF(ISNUMBER(S34),$C$10,NA())</f>
        <v/>
      </c>
    </row>
    <row r="35">
      <c r="A35" s="6" t="n"/>
      <c r="B35" s="11" t="n"/>
      <c r="C35" s="14" t="n"/>
      <c r="D35" s="15">
        <f>IF($C35="","",IF($B35="",$C$8,$B35))</f>
        <v/>
      </c>
      <c r="E35" s="16">
        <f>IF(OR($C35="",$C$12=""),"",D35*$C$12)</f>
        <v/>
      </c>
      <c r="F35" s="17">
        <f>IF(OR($C35="",$C$12=""),"",SQRT(D35*$C$12*(1-$C$12)))</f>
        <v/>
      </c>
      <c r="G35" s="16">
        <f>IF(OR($C35="",$C$12=""),"",E35+2*F35)</f>
        <v/>
      </c>
      <c r="H35" s="16">
        <f>IF(OR($C35="",$C$12=""),"",E35+3*F35)</f>
        <v/>
      </c>
      <c r="I35" s="17">
        <f>IF($C35="","",C35/D35*1000)</f>
        <v/>
      </c>
      <c r="J35" s="17">
        <f>IF(OR($C35="",$C$12=""),"",G35/D35*1000)</f>
        <v/>
      </c>
      <c r="K35" s="17">
        <f>IF(OR($C35="",$C$12=""),"",H35/D35*1000)</f>
        <v/>
      </c>
      <c r="L35" s="7">
        <f>IF(OR($C35="",$C$12=""),"",IF(C35&gt;G35,"Yes","No"))</f>
        <v/>
      </c>
      <c r="M35" s="7">
        <f>IF(OR($C35="",$C$12=""),"",IF(C35&gt;H35,"Yes","No"))</f>
        <v/>
      </c>
      <c r="N35" s="7">
        <f>IF(OR($C35="",$C$12=""),"",IF(COUNTIF(L33:L35,"Yes")&gt;=2,"Yes","No"))</f>
        <v/>
      </c>
      <c r="O35" s="18">
        <f>IF(OR($C35="",$C$12=""),"",IF(C35=0,1,1-_xlfn.BINOM.DIST(C35-1,D35,$C$12,TRUE)))</f>
        <v/>
      </c>
      <c r="P35" s="19">
        <f>IF(OR($C35="",$C$12=""),"",_xlfn.BINOM.INV(D35,$C$12,0.97725))</f>
        <v/>
      </c>
      <c r="Q35" s="19">
        <f>IF(OR($C35="",$C$12=""),"",_xlfn.BINOM.INV(D35,$C$12,0.99865))</f>
        <v/>
      </c>
      <c r="R35" s="17">
        <f>IF(OR($C35="",$C$12=""),"",(C35-E35)/F35)</f>
        <v/>
      </c>
      <c r="S35" s="17">
        <f>IF(OR($C35="",$C$12=""),"",MAX(0,IF(ISNUMBER(S34),S34,$C$11)+R35-$C$9))</f>
        <v/>
      </c>
      <c r="T35" s="7">
        <f>IF(OR($C35="",$C$12=""),"",IF(S35&gt;$C$10,"Yes","No"))</f>
        <v/>
      </c>
      <c r="U35" s="7">
        <f>IF(OR($C35="",$C$12=""),"",IF(M35="Yes","Beyond 3σ",IF(L35="Yes","Beyond 2σ","Within limits"))&amp;IF(N35="Yes","; 2 of 3 beyond 2σ",""))</f>
        <v/>
      </c>
      <c r="V35" s="7">
        <f>IF(OR($C35="",$C$12=""),"",IF(OR(M35="Yes",N35="Yes"),"Yes","No"))</f>
        <v/>
      </c>
      <c r="W35" s="20">
        <f>IF(ISNUMBER(C35),C35,NA())</f>
        <v/>
      </c>
      <c r="X35" s="20">
        <f>IF(ISNUMBER(E35),E35,NA())</f>
        <v/>
      </c>
      <c r="Y35" s="20">
        <f>IF(ISNUMBER(G35),G35,NA())</f>
        <v/>
      </c>
      <c r="Z35" s="20">
        <f>IF(ISNUMBER(H35),H35,NA())</f>
        <v/>
      </c>
      <c r="AA35" s="20">
        <f>IF(ISNUMBER(S35),S35,NA())</f>
        <v/>
      </c>
      <c r="AB35" s="21">
        <f>IF(ISNUMBER(S35),$C$10,NA())</f>
        <v/>
      </c>
    </row>
    <row r="36">
      <c r="A36" s="6" t="n"/>
      <c r="B36" s="11" t="n"/>
      <c r="C36" s="14" t="n"/>
      <c r="D36" s="15">
        <f>IF($C36="","",IF($B36="",$C$8,$B36))</f>
        <v/>
      </c>
      <c r="E36" s="16">
        <f>IF(OR($C36="",$C$12=""),"",D36*$C$12)</f>
        <v/>
      </c>
      <c r="F36" s="17">
        <f>IF(OR($C36="",$C$12=""),"",SQRT(D36*$C$12*(1-$C$12)))</f>
        <v/>
      </c>
      <c r="G36" s="16">
        <f>IF(OR($C36="",$C$12=""),"",E36+2*F36)</f>
        <v/>
      </c>
      <c r="H36" s="16">
        <f>IF(OR($C36="",$C$12=""),"",E36+3*F36)</f>
        <v/>
      </c>
      <c r="I36" s="17">
        <f>IF($C36="","",C36/D36*1000)</f>
        <v/>
      </c>
      <c r="J36" s="17">
        <f>IF(OR($C36="",$C$12=""),"",G36/D36*1000)</f>
        <v/>
      </c>
      <c r="K36" s="17">
        <f>IF(OR($C36="",$C$12=""),"",H36/D36*1000)</f>
        <v/>
      </c>
      <c r="L36" s="7">
        <f>IF(OR($C36="",$C$12=""),"",IF(C36&gt;G36,"Yes","No"))</f>
        <v/>
      </c>
      <c r="M36" s="7">
        <f>IF(OR($C36="",$C$12=""),"",IF(C36&gt;H36,"Yes","No"))</f>
        <v/>
      </c>
      <c r="N36" s="7">
        <f>IF(OR($C36="",$C$12=""),"",IF(COUNTIF(L34:L36,"Yes")&gt;=2,"Yes","No"))</f>
        <v/>
      </c>
      <c r="O36" s="18">
        <f>IF(OR($C36="",$C$12=""),"",IF(C36=0,1,1-_xlfn.BINOM.DIST(C36-1,D36,$C$12,TRUE)))</f>
        <v/>
      </c>
      <c r="P36" s="19">
        <f>IF(OR($C36="",$C$12=""),"",_xlfn.BINOM.INV(D36,$C$12,0.97725))</f>
        <v/>
      </c>
      <c r="Q36" s="19">
        <f>IF(OR($C36="",$C$12=""),"",_xlfn.BINOM.INV(D36,$C$12,0.99865))</f>
        <v/>
      </c>
      <c r="R36" s="17">
        <f>IF(OR($C36="",$C$12=""),"",(C36-E36)/F36)</f>
        <v/>
      </c>
      <c r="S36" s="17">
        <f>IF(OR($C36="",$C$12=""),"",MAX(0,IF(ISNUMBER(S35),S35,$C$11)+R36-$C$9))</f>
        <v/>
      </c>
      <c r="T36" s="7">
        <f>IF(OR($C36="",$C$12=""),"",IF(S36&gt;$C$10,"Yes","No"))</f>
        <v/>
      </c>
      <c r="U36" s="7">
        <f>IF(OR($C36="",$C$12=""),"",IF(M36="Yes","Beyond 3σ",IF(L36="Yes","Beyond 2σ","Within limits"))&amp;IF(N36="Yes","; 2 of 3 beyond 2σ",""))</f>
        <v/>
      </c>
      <c r="V36" s="7">
        <f>IF(OR($C36="",$C$12=""),"",IF(OR(M36="Yes",N36="Yes"),"Yes","No"))</f>
        <v/>
      </c>
      <c r="W36" s="20">
        <f>IF(ISNUMBER(C36),C36,NA())</f>
        <v/>
      </c>
      <c r="X36" s="20">
        <f>IF(ISNUMBER(E36),E36,NA())</f>
        <v/>
      </c>
      <c r="Y36" s="20">
        <f>IF(ISNUMBER(G36),G36,NA())</f>
        <v/>
      </c>
      <c r="Z36" s="20">
        <f>IF(ISNUMBER(H36),H36,NA())</f>
        <v/>
      </c>
      <c r="AA36" s="20">
        <f>IF(ISNUMBER(S36),S36,NA())</f>
        <v/>
      </c>
      <c r="AB36" s="21">
        <f>IF(ISNUMBER(S36),$C$10,NA())</f>
        <v/>
      </c>
    </row>
    <row r="37">
      <c r="A37" s="6" t="n"/>
      <c r="B37" s="11" t="n"/>
      <c r="C37" s="14" t="n"/>
      <c r="D37" s="15">
        <f>IF($C37="","",IF($B37="",$C$8,$B37))</f>
        <v/>
      </c>
      <c r="E37" s="16">
        <f>IF(OR($C37="",$C$12=""),"",D37*$C$12)</f>
        <v/>
      </c>
      <c r="F37" s="17">
        <f>IF(OR($C37="",$C$12=""),"",SQRT(D37*$C$12*(1-$C$12)))</f>
        <v/>
      </c>
      <c r="G37" s="16">
        <f>IF(OR($C37="",$C$12=""),"",E37+2*F37)</f>
        <v/>
      </c>
      <c r="H37" s="16">
        <f>IF(OR($C37="",$C$12=""),"",E37+3*F37)</f>
        <v/>
      </c>
      <c r="I37" s="17">
        <f>IF($C37="","",C37/D37*1000)</f>
        <v/>
      </c>
      <c r="J37" s="17">
        <f>IF(OR($C37="",$C$12=""),"",G37/D37*1000)</f>
        <v/>
      </c>
      <c r="K37" s="17">
        <f>IF(OR($C37="",$C$12=""),"",H37/D37*1000)</f>
        <v/>
      </c>
      <c r="L37" s="7">
        <f>IF(OR($C37="",$C$12=""),"",IF(C37&gt;G37,"Yes","No"))</f>
        <v/>
      </c>
      <c r="M37" s="7">
        <f>IF(OR($C37="",$C$12=""),"",IF(C37&gt;H37,"Yes","No"))</f>
        <v/>
      </c>
      <c r="N37" s="7">
        <f>IF(OR($C37="",$C$12=""),"",IF(COUNTIF(L35:L37,"Yes")&gt;=2,"Yes","No"))</f>
        <v/>
      </c>
      <c r="O37" s="18">
        <f>IF(OR($C37="",$C$12=""),"",IF(C37=0,1,1-_xlfn.BINOM.DIST(C37-1,D37,$C$12,TRUE)))</f>
        <v/>
      </c>
      <c r="P37" s="19">
        <f>IF(OR($C37="",$C$12=""),"",_xlfn.BINOM.INV(D37,$C$12,0.97725))</f>
        <v/>
      </c>
      <c r="Q37" s="19">
        <f>IF(OR($C37="",$C$12=""),"",_xlfn.BINOM.INV(D37,$C$12,0.99865))</f>
        <v/>
      </c>
      <c r="R37" s="17">
        <f>IF(OR($C37="",$C$12=""),"",(C37-E37)/F37)</f>
        <v/>
      </c>
      <c r="S37" s="17">
        <f>IF(OR($C37="",$C$12=""),"",MAX(0,IF(ISNUMBER(S36),S36,$C$11)+R37-$C$9))</f>
        <v/>
      </c>
      <c r="T37" s="7">
        <f>IF(OR($C37="",$C$12=""),"",IF(S37&gt;$C$10,"Yes","No"))</f>
        <v/>
      </c>
      <c r="U37" s="7">
        <f>IF(OR($C37="",$C$12=""),"",IF(M37="Yes","Beyond 3σ",IF(L37="Yes","Beyond 2σ","Within limits"))&amp;IF(N37="Yes","; 2 of 3 beyond 2σ",""))</f>
        <v/>
      </c>
      <c r="V37" s="7">
        <f>IF(OR($C37="",$C$12=""),"",IF(OR(M37="Yes",N37="Yes"),"Yes","No"))</f>
        <v/>
      </c>
      <c r="W37" s="20">
        <f>IF(ISNUMBER(C37),C37,NA())</f>
        <v/>
      </c>
      <c r="X37" s="20">
        <f>IF(ISNUMBER(E37),E37,NA())</f>
        <v/>
      </c>
      <c r="Y37" s="20">
        <f>IF(ISNUMBER(G37),G37,NA())</f>
        <v/>
      </c>
      <c r="Z37" s="20">
        <f>IF(ISNUMBER(H37),H37,NA())</f>
        <v/>
      </c>
      <c r="AA37" s="20">
        <f>IF(ISNUMBER(S37),S37,NA())</f>
        <v/>
      </c>
      <c r="AB37" s="21">
        <f>IF(ISNUMBER(S37),$C$10,NA())</f>
        <v/>
      </c>
    </row>
    <row r="38">
      <c r="A38" s="6" t="n"/>
      <c r="B38" s="11" t="n"/>
      <c r="C38" s="14" t="n"/>
      <c r="D38" s="15">
        <f>IF($C38="","",IF($B38="",$C$8,$B38))</f>
        <v/>
      </c>
      <c r="E38" s="16">
        <f>IF(OR($C38="",$C$12=""),"",D38*$C$12)</f>
        <v/>
      </c>
      <c r="F38" s="17">
        <f>IF(OR($C38="",$C$12=""),"",SQRT(D38*$C$12*(1-$C$12)))</f>
        <v/>
      </c>
      <c r="G38" s="16">
        <f>IF(OR($C38="",$C$12=""),"",E38+2*F38)</f>
        <v/>
      </c>
      <c r="H38" s="16">
        <f>IF(OR($C38="",$C$12=""),"",E38+3*F38)</f>
        <v/>
      </c>
      <c r="I38" s="17">
        <f>IF($C38="","",C38/D38*1000)</f>
        <v/>
      </c>
      <c r="J38" s="17">
        <f>IF(OR($C38="",$C$12=""),"",G38/D38*1000)</f>
        <v/>
      </c>
      <c r="K38" s="17">
        <f>IF(OR($C38="",$C$12=""),"",H38/D38*1000)</f>
        <v/>
      </c>
      <c r="L38" s="7">
        <f>IF(OR($C38="",$C$12=""),"",IF(C38&gt;G38,"Yes","No"))</f>
        <v/>
      </c>
      <c r="M38" s="7">
        <f>IF(OR($C38="",$C$12=""),"",IF(C38&gt;H38,"Yes","No"))</f>
        <v/>
      </c>
      <c r="N38" s="7">
        <f>IF(OR($C38="",$C$12=""),"",IF(COUNTIF(L36:L38,"Yes")&gt;=2,"Yes","No"))</f>
        <v/>
      </c>
      <c r="O38" s="18">
        <f>IF(OR($C38="",$C$12=""),"",IF(C38=0,1,1-_xlfn.BINOM.DIST(C38-1,D38,$C$12,TRUE)))</f>
        <v/>
      </c>
      <c r="P38" s="19">
        <f>IF(OR($C38="",$C$12=""),"",_xlfn.BINOM.INV(D38,$C$12,0.97725))</f>
        <v/>
      </c>
      <c r="Q38" s="19">
        <f>IF(OR($C38="",$C$12=""),"",_xlfn.BINOM.INV(D38,$C$12,0.99865))</f>
        <v/>
      </c>
      <c r="R38" s="17">
        <f>IF(OR($C38="",$C$12=""),"",(C38-E38)/F38)</f>
        <v/>
      </c>
      <c r="S38" s="17">
        <f>IF(OR($C38="",$C$12=""),"",MAX(0,IF(ISNUMBER(S37),S37,$C$11)+R38-$C$9))</f>
        <v/>
      </c>
      <c r="T38" s="7">
        <f>IF(OR($C38="",$C$12=""),"",IF(S38&gt;$C$10,"Yes","No"))</f>
        <v/>
      </c>
      <c r="U38" s="7">
        <f>IF(OR($C38="",$C$12=""),"",IF(M38="Yes","Beyond 3σ",IF(L38="Yes","Beyond 2σ","Within limits"))&amp;IF(N38="Yes","; 2 of 3 beyond 2σ",""))</f>
        <v/>
      </c>
      <c r="V38" s="7">
        <f>IF(OR($C38="",$C$12=""),"",IF(OR(M38="Yes",N38="Yes"),"Yes","No"))</f>
        <v/>
      </c>
      <c r="W38" s="20">
        <f>IF(ISNUMBER(C38),C38,NA())</f>
        <v/>
      </c>
      <c r="X38" s="20">
        <f>IF(ISNUMBER(E38),E38,NA())</f>
        <v/>
      </c>
      <c r="Y38" s="20">
        <f>IF(ISNUMBER(G38),G38,NA())</f>
        <v/>
      </c>
      <c r="Z38" s="20">
        <f>IF(ISNUMBER(H38),H38,NA())</f>
        <v/>
      </c>
      <c r="AA38" s="20">
        <f>IF(ISNUMBER(S38),S38,NA())</f>
        <v/>
      </c>
      <c r="AB38" s="21">
        <f>IF(ISNUMBER(S38),$C$10,NA())</f>
        <v/>
      </c>
    </row>
    <row r="40">
      <c r="A40" s="8" t="inlineStr">
        <is>
          <t>SUMMARY</t>
        </is>
      </c>
    </row>
    <row r="41">
      <c r="A41" s="9" t="inlineStr">
        <is>
          <t>Periods entered</t>
        </is>
      </c>
      <c r="C41" s="22">
        <f>COUNT(C15:C38)</f>
        <v/>
      </c>
    </row>
    <row r="42">
      <c r="A42" s="9" t="inlineStr">
        <is>
          <t>Total observed</t>
        </is>
      </c>
      <c r="C42" s="22">
        <f>IF(COUNT(C15:C38)=0,"",SUM(C15:C38))</f>
        <v/>
      </c>
    </row>
    <row r="43">
      <c r="A43" s="9" t="inlineStr">
        <is>
          <t>Total expected</t>
        </is>
      </c>
      <c r="C43" s="23">
        <f>IF(COUNT(E15:E38)=0,"",SUM(E15:E38))</f>
        <v/>
      </c>
    </row>
    <row r="44">
      <c r="A44" s="9" t="inlineStr">
        <is>
          <t>Latest period: rate ÷ baseline</t>
        </is>
      </c>
      <c r="C44" s="24">
        <f>IF(OR(COUNT(C15:C38)=0,$C$7=""),"",INDEX(I15:I38,COUNT(C15:C38))/$C$7)</f>
        <v/>
      </c>
    </row>
    <row r="45">
      <c r="A45" s="9" t="inlineStr">
        <is>
          <t>Maximum CUSUM</t>
        </is>
      </c>
      <c r="C45" s="24">
        <f>IF(COUNT(S15:S38)=0,"",MAX(S15:S38))</f>
        <v/>
      </c>
    </row>
    <row r="46">
      <c r="A46" s="9" t="inlineStr">
        <is>
          <t>Periods with reporting trigger met</t>
        </is>
      </c>
      <c r="C46" s="22">
        <f>COUNTIF(V15:V38,"Yes")</f>
        <v/>
      </c>
    </row>
    <row r="48">
      <c r="A48" s="8" t="inlineStr">
        <is>
          <t>RECORD EACH REVIEW</t>
        </is>
      </c>
    </row>
    <row r="49">
      <c r="A49" s="25" t="inlineStr">
        <is>
          <t>When a screening rule fires, write in the signal record: the limits, the denominator, the CUSUM value, the decision, the reasoning, and who decided and when.</t>
        </is>
      </c>
    </row>
    <row r="50">
      <c r="A50" s="25" t="inlineStr">
        <is>
          <t>When a rule fires and no report is filed, the same record is required (Tool T-5). Severity changes are reviewed clinically, not charted (Chapter 8, Step 7).</t>
        </is>
      </c>
    </row>
  </sheetData>
  <conditionalFormatting sqref="L15:N38">
    <cfRule type="expression" priority="1" dxfId="0">
      <formula>L15="Yes"</formula>
    </cfRule>
  </conditionalFormatting>
  <conditionalFormatting sqref="T15:T38">
    <cfRule type="expression" priority="2" dxfId="0">
      <formula>T15="Yes"</formula>
    </cfRule>
  </conditionalFormatting>
  <conditionalFormatting sqref="V15:V38">
    <cfRule type="expression" priority="3" dxfId="1">
      <formula>V15="Yes"</formula>
    </cfRule>
  </conditionalFormatting>
  <pageMargins left="0.75" right="0.75" top="1" bottom="1" header="0.5" footer="0.5"/>
  <pageSetup orientation="landscape" paperSize="1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2026-09-16T22:01:11Z</dcterms:created>
  <dcterms:modified xmlns:dcterms="http://purl.org/dc/terms/" xmlns:xsi="http://www.w3.org/2001/XMLSchema-instance" xsi:type="dcterms:W3CDTF">2026-09-16T22:01:11Z</dcterms:modified>
</cp:coreProperties>
</file>